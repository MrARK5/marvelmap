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5"/>
    <sheet state="visible" name="Checklist" sheetId="2" r:id="rId6"/>
    <sheet state="visible" name="ColourPallets" sheetId="3" r:id="rId7"/>
    <sheet state="visible" name="(For Axel) Adding New Content R" sheetId="4" r:id="rId8"/>
  </sheets>
  <definedNames/>
  <calcPr/>
</workbook>
</file>

<file path=xl/sharedStrings.xml><?xml version="1.0" encoding="utf-8"?>
<sst xmlns="http://schemas.openxmlformats.org/spreadsheetml/2006/main" count="4620" uniqueCount="1574">
  <si>
    <t>Adding New CONTENT</t>
  </si>
  <si>
    <t>Phase / Saga⤵</t>
  </si>
  <si>
    <t>In the Sheet itself:</t>
  </si>
  <si>
    <t>Main Colour 1</t>
  </si>
  <si>
    <t>Apps Script:</t>
  </si>
  <si>
    <t>Main Colour 2</t>
  </si>
  <si>
    <t>Episode Colour 1</t>
  </si>
  <si>
    <t>Episode Colour 2</t>
  </si>
  <si>
    <t>(MAUTAS)</t>
  </si>
  <si>
    <r>
      <rPr>
        <rFont val="Arial"/>
        <color theme="1"/>
        <sz val="18.0"/>
        <u/>
      </rPr>
      <t>📊</t>
    </r>
    <r>
      <rPr>
        <rFont val="Arial"/>
        <b/>
        <color theme="1"/>
        <sz val="18.0"/>
        <u/>
      </rPr>
      <t xml:space="preserve"> 1. Trackers &amp; Sheet Layout</t>
    </r>
    <r>
      <rPr>
        <rFont val="Arial"/>
        <color theme="1"/>
        <sz val="15.0"/>
      </rPr>
      <t xml:space="preserve">
- Update </t>
    </r>
    <r>
      <rPr>
        <rFont val="Arial"/>
        <b/>
        <color theme="1"/>
        <sz val="15.0"/>
      </rPr>
      <t>Phase Tracker.</t>
    </r>
    <r>
      <rPr>
        <rFont val="Arial"/>
        <color theme="1"/>
        <sz val="15.0"/>
      </rPr>
      <t xml:space="preserve">
- Update </t>
    </r>
    <r>
      <rPr>
        <rFont val="Arial"/>
        <b/>
        <color theme="1"/>
        <sz val="15.0"/>
      </rPr>
      <t>Total Tracker.</t>
    </r>
    <r>
      <rPr>
        <rFont val="Arial"/>
        <color theme="1"/>
        <sz val="15.0"/>
      </rPr>
      <t xml:space="preserve">
- Adjust </t>
    </r>
    <r>
      <rPr>
        <rFont val="Arial"/>
        <b/>
        <color theme="1"/>
        <sz val="15.0"/>
      </rPr>
      <t xml:space="preserve">Hidden Column G.
</t>
    </r>
    <r>
      <rPr>
        <rFont val="Arial"/>
        <b/>
        <i/>
        <color theme="1"/>
        <sz val="15.0"/>
      </rPr>
      <t>(TRUE = Episode / FALSE = Parent.)</t>
    </r>
    <r>
      <rPr>
        <rFont val="Arial"/>
        <color theme="1"/>
        <sz val="15.0"/>
      </rPr>
      <t xml:space="preserve">
- Double check formatting and checkbox layout.</t>
    </r>
  </si>
  <si>
    <t>(PreMCU) Phase 0</t>
  </si>
  <si>
    <t>(IS) Phase 1</t>
  </si>
  <si>
    <r>
      <rPr>
        <rFont val="Arial"/>
        <b/>
        <color theme="1"/>
        <sz val="18.0"/>
        <u/>
      </rPr>
      <t>🎨 2. Colour Pallet Config</t>
    </r>
    <r>
      <rPr>
        <rFont val="Arial"/>
        <b/>
        <color theme="1"/>
        <sz val="15.0"/>
      </rPr>
      <t xml:space="preserve">
</t>
    </r>
    <r>
      <rPr>
        <rFont val="Arial"/>
        <b/>
        <i/>
        <color theme="1"/>
        <sz val="15.0"/>
      </rPr>
      <t>(APPLIES TO ALL NEW CONTENT)</t>
    </r>
    <r>
      <rPr>
        <rFont val="Arial"/>
        <color theme="1"/>
        <sz val="15.0"/>
      </rPr>
      <t xml:space="preserve">
</t>
    </r>
    <r>
      <rPr>
        <rFont val="Arial"/>
        <b/>
        <color theme="1"/>
        <sz val="15.0"/>
      </rPr>
      <t>//// COLOURP Config ////</t>
    </r>
    <r>
      <rPr>
        <rFont val="Arial"/>
        <color theme="1"/>
        <sz val="15.0"/>
      </rPr>
      <t xml:space="preserve">
**</t>
    </r>
    <r>
      <rPr>
        <rFont val="Arial"/>
        <b/>
        <color theme="1"/>
        <sz val="15.0"/>
      </rPr>
      <t xml:space="preserve">No changes are needed if new stuff fits inside the existing phase!!**
</t>
    </r>
    <r>
      <rPr>
        <rFont val="Arial"/>
        <b/>
        <color theme="1"/>
        <sz val="15.0"/>
        <u/>
      </rPr>
      <t>If the phase grows larger:</t>
    </r>
    <r>
      <rPr>
        <rFont val="Arial"/>
        <color theme="1"/>
        <sz val="15.0"/>
      </rPr>
      <t xml:space="preserve">
- Update </t>
    </r>
    <r>
      <rPr>
        <rFont val="Arial"/>
        <b/>
        <color theme="1"/>
        <sz val="15.0"/>
      </rPr>
      <t>MarvelConfig</t>
    </r>
    <r>
      <rPr>
        <rFont val="Arial"/>
        <color theme="1"/>
        <sz val="15.0"/>
      </rPr>
      <t xml:space="preserve">.
- Adjust the </t>
    </r>
    <r>
      <rPr>
        <rFont val="Arial"/>
        <b/>
        <color theme="1"/>
        <sz val="15.0"/>
      </rPr>
      <t>endRow</t>
    </r>
    <r>
      <rPr>
        <rFont val="Arial"/>
        <color theme="1"/>
        <sz val="15.0"/>
      </rPr>
      <t xml:space="preserve"> number.</t>
    </r>
  </si>
  <si>
    <t>HELLO - I AM ACTIVELY EDITING THE SHEET CURRENTLY.
PLEASE CHECK BACK LATER.</t>
  </si>
  <si>
    <t>(IS) Phase 2</t>
  </si>
  <si>
    <r>
      <rPr>
        <rFont val="Arial"/>
        <b/>
        <color theme="1"/>
        <sz val="18.0"/>
        <u/>
      </rPr>
      <t>📋 3. Checklist Tools UI</t>
    </r>
    <r>
      <rPr>
        <rFont val="Arial"/>
        <color theme="1"/>
        <sz val="15.0"/>
      </rPr>
      <t xml:space="preserve">
</t>
    </r>
    <r>
      <rPr>
        <rFont val="Arial"/>
        <b/>
        <i/>
        <color theme="1"/>
        <sz val="15.0"/>
      </rPr>
      <t>(APPLIES TO ALL NEW CONTENT)</t>
    </r>
    <r>
      <rPr>
        <rFont val="Arial"/>
        <color theme="1"/>
        <sz val="15.0"/>
      </rPr>
      <t xml:space="preserve">
</t>
    </r>
    <r>
      <rPr>
        <rFont val="Arial"/>
        <b/>
        <color theme="1"/>
        <sz val="15.0"/>
      </rPr>
      <t>//// Checklist Tools UI Functions ////</t>
    </r>
    <r>
      <rPr>
        <rFont val="Arial"/>
        <color theme="1"/>
        <sz val="15.0"/>
      </rPr>
      <t xml:space="preserve">
</t>
    </r>
    <r>
      <rPr>
        <rFont val="Arial"/>
        <b/>
        <color theme="1"/>
        <sz val="15.0"/>
      </rPr>
      <t xml:space="preserve">**No changes are needed if new stuff fits inside the existing phase!!**
</t>
    </r>
    <r>
      <rPr>
        <rFont val="Arial"/>
        <color theme="1"/>
        <sz val="15.0"/>
      </rPr>
      <t xml:space="preserve">
</t>
    </r>
    <r>
      <rPr>
        <rFont val="Arial"/>
        <b/>
        <color theme="1"/>
        <sz val="15.0"/>
        <u/>
      </rPr>
      <t>If the phase grows larger:</t>
    </r>
    <r>
      <rPr>
        <rFont val="Arial"/>
        <color theme="1"/>
        <sz val="15.0"/>
      </rPr>
      <t xml:space="preserve">
- Update the </t>
    </r>
    <r>
      <rPr>
        <rFont val="Arial"/>
        <b/>
        <color theme="1"/>
        <sz val="15.0"/>
      </rPr>
      <t>cell ranges</t>
    </r>
    <r>
      <rPr>
        <rFont val="Arial"/>
        <color theme="1"/>
        <sz val="15.0"/>
      </rPr>
      <t xml:space="preserve"> for:
        &gt; B:C in </t>
    </r>
    <r>
      <rPr>
        <rFont val="Arial"/>
        <b/>
        <color theme="1"/>
        <sz val="15.0"/>
      </rPr>
      <t>ResetCheckMarks()</t>
    </r>
    <r>
      <rPr>
        <rFont val="Arial"/>
        <color theme="1"/>
        <sz val="15.0"/>
      </rPr>
      <t xml:space="preserve">.
        &gt; F in </t>
    </r>
    <r>
      <rPr>
        <rFont val="Arial"/>
        <b/>
        <color theme="1"/>
        <sz val="15.0"/>
      </rPr>
      <t>ClearAllNotes()</t>
    </r>
    <r>
      <rPr>
        <rFont val="Arial"/>
        <color theme="1"/>
        <sz val="15.0"/>
      </rPr>
      <t>.</t>
    </r>
  </si>
  <si>
    <t>(IS) Phase 3</t>
  </si>
  <si>
    <t>(MS) Phase 4</t>
  </si>
  <si>
    <t>(MS) Phase 5</t>
  </si>
  <si>
    <t>(MS) Phase 6</t>
  </si>
  <si>
    <t>Adding New PHASE</t>
  </si>
  <si>
    <t>Simply change the background colour of any segments you want to recolour.
Then click "Apply New Colour Pallets" in the Atlas tools.
*You may see a popup saying you’re editing the sheet.
(Just click OK to dismiss, or Cancel if you don’t want to see it again.)
For Phase headers, you'll need to change their background manually in the sheet itself.
Only the Segments are managed via code because of the series' not alternating perfectly.</t>
  </si>
  <si>
    <r>
      <rPr>
        <rFont val="Arial"/>
        <b/>
        <color theme="1"/>
        <sz val="18.0"/>
        <u/>
      </rPr>
      <t xml:space="preserve">📊 1. Trackers &amp; Sheet Layout
</t>
    </r>
    <r>
      <rPr>
        <rFont val="Arial"/>
        <color theme="1"/>
        <sz val="15.0"/>
      </rPr>
      <t xml:space="preserve">
- Build the new phase headers and cell section.
- Build new </t>
    </r>
    <r>
      <rPr>
        <rFont val="Arial"/>
        <b/>
        <color theme="1"/>
        <sz val="15.0"/>
      </rPr>
      <t>Phase Tracker</t>
    </r>
    <r>
      <rPr>
        <rFont val="Arial"/>
        <color theme="1"/>
        <sz val="15.0"/>
      </rPr>
      <t xml:space="preserve">.
- Update </t>
    </r>
    <r>
      <rPr>
        <rFont val="Arial"/>
        <b/>
        <color theme="1"/>
        <sz val="15.0"/>
      </rPr>
      <t>Total Tracker</t>
    </r>
    <r>
      <rPr>
        <rFont val="Arial"/>
        <color theme="1"/>
        <sz val="15.0"/>
      </rPr>
      <t xml:space="preserve">.
- Adjust </t>
    </r>
    <r>
      <rPr>
        <rFont val="Arial"/>
        <b/>
        <color theme="1"/>
        <sz val="15.0"/>
      </rPr>
      <t>Hidden Column G.</t>
    </r>
    <r>
      <rPr>
        <rFont val="Arial"/>
        <color theme="1"/>
        <sz val="15.0"/>
      </rPr>
      <t xml:space="preserve">
(TRUE = Episode / FALSE = Parent.)
- Double check formatting and checkbox layout.
</t>
    </r>
    <r>
      <rPr>
        <rFont val="Arial"/>
        <b/>
        <color theme="1"/>
        <sz val="18.0"/>
        <u/>
      </rPr>
      <t>In the ColourPallets Sheet:</t>
    </r>
    <r>
      <rPr>
        <rFont val="Arial"/>
        <color theme="1"/>
        <sz val="13.0"/>
      </rPr>
      <t xml:space="preserve">
</t>
    </r>
    <r>
      <rPr>
        <rFont val="Arial"/>
        <color theme="1"/>
        <sz val="15.0"/>
      </rPr>
      <t>- Create new Colour Pallete rows and colour as desired.</t>
    </r>
  </si>
  <si>
    <r>
      <rPr>
        <rFont val="Roboto"/>
        <b/>
        <sz val="24.0"/>
      </rPr>
      <t>CLICK HERE TO GO TO THE ATLAS CHECKLIST:</t>
    </r>
    <r>
      <rPr>
        <rFont val="Roboto"/>
        <b/>
        <sz val="40.0"/>
      </rPr>
      <t xml:space="preserve">
</t>
    </r>
    <r>
      <rPr>
        <rFont val="Roboto"/>
        <b/>
        <sz val="40.0"/>
      </rPr>
      <t xml:space="preserve">➡️ </t>
    </r>
    <r>
      <rPr>
        <rFont val="Roboto"/>
        <b/>
        <color rgb="FF1155CC"/>
        <sz val="40.0"/>
        <u/>
      </rPr>
      <t>CHECKLIST PAGE</t>
    </r>
    <r>
      <rPr>
        <rFont val="Roboto"/>
        <b/>
        <sz val="40.0"/>
      </rPr>
      <t xml:space="preserve"> ⬅️</t>
    </r>
    <r>
      <rPr>
        <rFont val="Roboto"/>
        <b/>
        <sz val="40.0"/>
      </rPr>
      <t xml:space="preserve">
</t>
    </r>
    <r>
      <rPr>
        <rFont val="Roboto"/>
        <b/>
        <sz val="22.0"/>
      </rPr>
      <t>(Sheet tabs are located at the bottom of your screen.)</t>
    </r>
  </si>
  <si>
    <r>
      <rPr>
        <rFont val="Arial"/>
        <b/>
        <color theme="1"/>
        <sz val="18.0"/>
        <u/>
      </rPr>
      <t>🎨 2. Colour Pallet Config</t>
    </r>
    <r>
      <rPr>
        <rFont val="Arial"/>
        <color theme="1"/>
        <sz val="15.0"/>
      </rPr>
      <t xml:space="preserve">
</t>
    </r>
    <r>
      <rPr>
        <rFont val="Arial"/>
        <b/>
        <color theme="1"/>
        <sz val="15.0"/>
      </rPr>
      <t xml:space="preserve">//// COLOURP Config ////
</t>
    </r>
    <r>
      <rPr>
        <rFont val="Arial"/>
        <color theme="1"/>
        <sz val="15.0"/>
      </rPr>
      <t xml:space="preserve">
- Add a new phase config object to </t>
    </r>
    <r>
      <rPr>
        <rFont val="Arial"/>
        <b/>
        <color theme="1"/>
        <sz val="15.0"/>
      </rPr>
      <t>MarvelConfig</t>
    </r>
    <r>
      <rPr>
        <rFont val="Arial"/>
        <color theme="1"/>
        <sz val="15.0"/>
      </rPr>
      <t xml:space="preserve">;
Example: </t>
    </r>
    <r>
      <rPr>
        <rFont val="Arial"/>
        <b/>
        <color theme="1"/>
        <sz val="15.0"/>
      </rPr>
      <t>const phase7Config = { startRow: 800, endRow: 820, palletRow: 10 };</t>
    </r>
    <r>
      <rPr>
        <rFont val="Arial"/>
        <color theme="1"/>
        <sz val="15.0"/>
      </rPr>
      <t xml:space="preserve">
- Include it in the </t>
    </r>
    <r>
      <rPr>
        <rFont val="Arial"/>
        <b/>
        <color theme="1"/>
        <sz val="15.0"/>
      </rPr>
      <t>return array.</t>
    </r>
    <r>
      <rPr>
        <rFont val="Arial"/>
        <color theme="1"/>
        <sz val="15.0"/>
      </rPr>
      <t xml:space="preserve">
- Make sure the phase’s colour palette row exists in </t>
    </r>
    <r>
      <rPr>
        <rFont val="Arial"/>
        <b/>
        <color theme="1"/>
        <sz val="15.0"/>
      </rPr>
      <t>ColourPallets</t>
    </r>
    <r>
      <rPr>
        <rFont val="Arial"/>
        <color theme="1"/>
        <sz val="15.0"/>
      </rPr>
      <t xml:space="preserve"> sheet.</t>
    </r>
  </si>
  <si>
    <r>
      <rPr>
        <rFont val="Arial"/>
        <b/>
        <color theme="1"/>
        <sz val="18.0"/>
      </rPr>
      <t>📋 3. Checklist Tools UI</t>
    </r>
    <r>
      <rPr>
        <rFont val="Arial"/>
        <b/>
        <color theme="1"/>
        <sz val="13.0"/>
      </rPr>
      <t xml:space="preserve">
</t>
    </r>
    <r>
      <rPr>
        <rFont val="Arial"/>
        <b/>
        <color theme="1"/>
        <sz val="15.0"/>
      </rPr>
      <t>//// Checklist Tools UI Functions ////</t>
    </r>
    <r>
      <rPr>
        <rFont val="Arial"/>
        <color theme="1"/>
        <sz val="15.0"/>
      </rPr>
      <t xml:space="preserve">
- Add new phase ranges for:
        &gt; B:C in </t>
    </r>
    <r>
      <rPr>
        <rFont val="Arial"/>
        <b/>
        <color theme="1"/>
        <sz val="15.0"/>
      </rPr>
      <t>ResetCheckMarks</t>
    </r>
    <r>
      <rPr>
        <rFont val="Arial"/>
        <color theme="1"/>
        <sz val="15.0"/>
      </rPr>
      <t xml:space="preserve">().
        &gt; F in </t>
    </r>
    <r>
      <rPr>
        <rFont val="Arial"/>
        <b/>
        <color theme="1"/>
        <sz val="15.0"/>
      </rPr>
      <t>ClearAllNotes</t>
    </r>
    <r>
      <rPr>
        <rFont val="Arial"/>
        <color theme="1"/>
        <sz val="15.0"/>
      </rPr>
      <t>().</t>
    </r>
  </si>
  <si>
    <t xml:space="preserve">👋 WELCOME‎ ‎ ‎ ‎ </t>
  </si>
  <si>
    <r>
      <rPr>
        <rFont val="Roboto"/>
        <b/>
        <color theme="1"/>
        <sz val="15.0"/>
      </rPr>
      <t>Hi there! o/</t>
    </r>
    <r>
      <rPr>
        <rFont val="Roboto"/>
        <color theme="1"/>
        <sz val="15.0"/>
      </rPr>
      <t xml:space="preserve">
Thank you for checking out </t>
    </r>
    <r>
      <rPr>
        <rFont val="Roboto"/>
        <b/>
        <color theme="1"/>
        <sz val="15.0"/>
      </rPr>
      <t>The Marvel Atlas!</t>
    </r>
    <r>
      <rPr>
        <rFont val="Roboto"/>
        <color theme="1"/>
        <sz val="15.0"/>
      </rPr>
      <t xml:space="preserve">
</t>
    </r>
    <r>
      <rPr>
        <rFont val="Roboto"/>
        <b/>
        <color theme="1"/>
        <sz val="15.0"/>
      </rPr>
      <t xml:space="preserve">The essential go-to MCU+ watch guide and checklist.
</t>
    </r>
    <r>
      <rPr>
        <rFont val="Roboto"/>
        <color theme="1"/>
        <sz val="15.0"/>
      </rPr>
      <t xml:space="preserve">
Whether you're embarking on your first Marvel marathon, rewatching the MCU+ from the beginning, or simply trying to figure out what you're supposed to watch next... </t>
    </r>
    <r>
      <rPr>
        <rFont val="Roboto"/>
        <b/>
        <color theme="1"/>
        <sz val="15.0"/>
      </rPr>
      <t>The Atlas is designed to help with just that!</t>
    </r>
    <r>
      <rPr>
        <rFont val="Roboto"/>
        <color theme="1"/>
        <sz val="15.0"/>
      </rPr>
      <t xml:space="preserve"> I built this tool to make Marvel marathons much easier to manage, with a few features to help you keep track of everything as you make your way through the ever-expanding universe(s).
Whether you're here for the checklist, the progress trackers, the episode breakdowns, or just want to see how everything fits together, hopefully there's something here to make your marathon a little easier.
</t>
    </r>
    <r>
      <rPr>
        <rFont val="Roboto"/>
        <b/>
        <color theme="1"/>
        <sz val="20.0"/>
      </rPr>
      <t xml:space="preserve">
</t>
    </r>
    <r>
      <rPr>
        <rFont val="Roboto"/>
        <b/>
        <color theme="1"/>
        <sz val="18.0"/>
      </rPr>
      <t>First things first!</t>
    </r>
    <r>
      <rPr>
        <rFont val="Roboto"/>
        <color theme="1"/>
        <sz val="15.0"/>
      </rPr>
      <t xml:space="preserve">
In order to use The Marvel Atlas, you must </t>
    </r>
    <r>
      <rPr>
        <rFont val="Roboto"/>
        <b/>
        <color theme="1"/>
        <sz val="15.0"/>
      </rPr>
      <t xml:space="preserve">make your own copy!
</t>
    </r>
    <r>
      <rPr>
        <rFont val="Roboto"/>
        <color theme="1"/>
        <sz val="15.0"/>
      </rPr>
      <t xml:space="preserve">Wherever you found the template, there should be two links.
One to </t>
    </r>
    <r>
      <rPr>
        <rFont val="Roboto"/>
        <b/>
        <i/>
        <color theme="1"/>
        <sz val="15.0"/>
      </rPr>
      <t>preview</t>
    </r>
    <r>
      <rPr>
        <rFont val="Roboto"/>
        <color theme="1"/>
        <sz val="15.0"/>
      </rPr>
      <t xml:space="preserve">, (the one you clicked), and one to </t>
    </r>
    <r>
      <rPr>
        <rFont val="Roboto"/>
        <b/>
        <i/>
        <color theme="1"/>
        <sz val="15.0"/>
      </rPr>
      <t xml:space="preserve">make a copy.
</t>
    </r>
    <r>
      <rPr>
        <rFont val="Roboto"/>
        <color theme="1"/>
        <sz val="15.0"/>
      </rPr>
      <t>You can also create a copy directly from the preview here!
Top left of your screen, go to:</t>
    </r>
    <r>
      <rPr>
        <rFont val="Roboto"/>
        <b/>
        <color theme="1"/>
        <sz val="15.0"/>
      </rPr>
      <t xml:space="preserve"> File &gt; Make a copy.
</t>
    </r>
    <r>
      <rPr>
        <rFont val="Roboto"/>
        <color theme="1"/>
        <sz val="15.0"/>
      </rPr>
      <t xml:space="preserve">
The Atlas is optimised to be used on a </t>
    </r>
    <r>
      <rPr>
        <rFont val="Roboto"/>
        <b/>
        <color theme="1"/>
        <sz val="15.0"/>
      </rPr>
      <t xml:space="preserve">mobile device. </t>
    </r>
    <r>
      <rPr>
        <rFont val="Roboto"/>
        <color theme="1"/>
        <sz val="15.0"/>
      </rPr>
      <t>However,</t>
    </r>
    <r>
      <rPr>
        <rFont val="Roboto"/>
        <b/>
        <color theme="1"/>
        <sz val="15.0"/>
      </rPr>
      <t xml:space="preserve"> </t>
    </r>
    <r>
      <rPr>
        <rFont val="Roboto"/>
        <color theme="1"/>
        <sz val="15.0"/>
      </rPr>
      <t xml:space="preserve">I strongly recommend initially opening it on a </t>
    </r>
    <r>
      <rPr>
        <rFont val="Roboto"/>
        <b/>
        <color theme="1"/>
        <sz val="15.0"/>
      </rPr>
      <t>PC, Laptop, Tablet, or Desktop Browser first.</t>
    </r>
    <r>
      <rPr>
        <rFont val="Roboto"/>
        <color theme="1"/>
        <sz val="15.0"/>
      </rPr>
      <t xml:space="preserve">
This allows you to accept the necessary permissions for Google Sheets to display images and ensure the scripts work correctly.
The first time you use the Atlas's tools, Google may also ask you to </t>
    </r>
    <r>
      <rPr>
        <rFont val="Roboto"/>
        <b/>
        <color theme="1"/>
        <sz val="15.0"/>
      </rPr>
      <t xml:space="preserve">sign in and authorise the scripts. </t>
    </r>
    <r>
      <rPr>
        <rFont val="Roboto"/>
        <color theme="1"/>
        <sz val="15.0"/>
      </rPr>
      <t xml:space="preserve">I assure you, this is normal and is required for the tools to work. </t>
    </r>
    <r>
      <rPr>
        <rFont val="Roboto"/>
        <b/>
        <color theme="1"/>
        <sz val="15.0"/>
      </rPr>
      <t xml:space="preserve">No data is collected at all.
</t>
    </r>
    <r>
      <rPr>
        <rFont val="Roboto"/>
        <color theme="1"/>
        <sz val="15.0"/>
      </rPr>
      <t xml:space="preserve">Then you can go ahead and </t>
    </r>
    <r>
      <rPr>
        <rFont val="Roboto"/>
        <b/>
        <color theme="1"/>
        <sz val="15.0"/>
      </rPr>
      <t xml:space="preserve">change the </t>
    </r>
    <r>
      <rPr>
        <rFont val="Roboto"/>
        <b/>
        <color rgb="FFFF0000"/>
        <sz val="15.0"/>
      </rPr>
      <t>c</t>
    </r>
    <r>
      <rPr>
        <rFont val="Roboto"/>
        <b/>
        <color rgb="FFFF9900"/>
        <sz val="15.0"/>
      </rPr>
      <t>o</t>
    </r>
    <r>
      <rPr>
        <rFont val="Roboto"/>
        <b/>
        <color rgb="FFFFFF00"/>
        <sz val="15.0"/>
      </rPr>
      <t>l</t>
    </r>
    <r>
      <rPr>
        <rFont val="Roboto"/>
        <b/>
        <color rgb="FF00FF00"/>
        <sz val="15.0"/>
      </rPr>
      <t>o</t>
    </r>
    <r>
      <rPr>
        <rFont val="Roboto"/>
        <b/>
        <color rgb="FF00FFFF"/>
        <sz val="15.0"/>
      </rPr>
      <t>u</t>
    </r>
    <r>
      <rPr>
        <rFont val="Roboto"/>
        <b/>
        <color rgb="FF0000FF"/>
        <sz val="15.0"/>
      </rPr>
      <t>r</t>
    </r>
    <r>
      <rPr>
        <rFont val="Roboto"/>
        <b/>
        <color rgb="FF9900FF"/>
        <sz val="15.0"/>
      </rPr>
      <t>s</t>
    </r>
    <r>
      <rPr>
        <rFont val="Roboto"/>
        <color theme="1"/>
        <sz val="15.0"/>
      </rPr>
      <t xml:space="preserve"> of your Atlas if you like, the Sheet "</t>
    </r>
    <r>
      <rPr>
        <rFont val="Roboto"/>
        <b/>
        <color theme="1"/>
        <sz val="15.0"/>
      </rPr>
      <t>ColourPallets</t>
    </r>
    <r>
      <rPr>
        <rFont val="Roboto"/>
        <color theme="1"/>
        <sz val="15.0"/>
      </rPr>
      <t xml:space="preserve">" gives all the information you should need. There is also a little bit more information further on in </t>
    </r>
    <r>
      <rPr>
        <rFont val="Roboto"/>
        <b/>
        <i/>
        <color theme="1"/>
        <sz val="15.0"/>
      </rPr>
      <t>Editing Your Copy</t>
    </r>
    <r>
      <rPr>
        <rFont val="Roboto"/>
        <color theme="1"/>
        <sz val="15.0"/>
      </rPr>
      <t>.</t>
    </r>
    <r>
      <rPr>
        <rFont val="Roboto"/>
        <b/>
        <color theme="1"/>
        <sz val="15.0"/>
      </rPr>
      <t xml:space="preserve">
</t>
    </r>
    <r>
      <rPr>
        <rFont val="Roboto"/>
        <color theme="1"/>
        <sz val="15.0"/>
      </rPr>
      <t xml:space="preserve">
Once you're all set up, I recommend using the </t>
    </r>
    <r>
      <rPr>
        <rFont val="Roboto"/>
        <b/>
        <color theme="1"/>
        <sz val="15.0"/>
      </rPr>
      <t>Google Sheets App</t>
    </r>
    <r>
      <rPr>
        <rFont val="Roboto"/>
        <color theme="1"/>
        <sz val="15.0"/>
      </rPr>
      <t xml:space="preserve"> on your Phone or whatever is most comfy for the best experience!
Everything else you need to know about using the Atlas, customisation, FAQ, updates, and more can be found throughout this Welcome Sheet. 
See the </t>
    </r>
    <r>
      <rPr>
        <rFont val="Roboto"/>
        <b/>
        <color theme="1"/>
        <sz val="15.0"/>
      </rPr>
      <t>Index</t>
    </r>
    <r>
      <rPr>
        <rFont val="Roboto"/>
        <color theme="1"/>
        <sz val="15.0"/>
      </rPr>
      <t xml:space="preserve"> below to find the section you're looking for!
And yes, the </t>
    </r>
    <r>
      <rPr>
        <rFont val="Roboto"/>
        <b/>
        <color theme="1"/>
        <sz val="15.0"/>
      </rPr>
      <t xml:space="preserve">Welcome Sheet can be safely deleted </t>
    </r>
    <r>
      <rPr>
        <rFont val="Roboto"/>
        <color theme="1"/>
        <sz val="15.0"/>
      </rPr>
      <t xml:space="preserve">when you're done with it if you like. It's purely an information and welcome hub, and isn't used for the Checklist itself.
That's pretty much everything you need to know to get started.
</t>
    </r>
    <r>
      <rPr>
        <rFont val="Roboto"/>
        <b/>
        <color theme="1"/>
        <sz val="15.0"/>
      </rPr>
      <t xml:space="preserve">See you after the credits!
Enjoy!
</t>
    </r>
    <r>
      <rPr>
        <rFont val="Roboto"/>
        <b/>
        <i/>
        <color theme="1"/>
        <sz val="15.0"/>
      </rPr>
      <t>-Axel :D</t>
    </r>
  </si>
  <si>
    <t>WATCHED</t>
  </si>
  <si>
    <t xml:space="preserve">🗂️ INDEX‎ ‎ ‎ ‎ ‎ </t>
  </si>
  <si>
    <t>SKIPPED</t>
  </si>
  <si>
    <t>POST/MID
CREDITS</t>
  </si>
  <si>
    <t>RUNTIME</t>
  </si>
  <si>
    <t>UNIVERSE</t>
  </si>
  <si>
    <t>🚀 Getting Started</t>
  </si>
  <si>
    <t>NOTES</t>
  </si>
  <si>
    <t>FOR APPS SCRIPT USE ONLY
EPISODE IDENTIFIER
PLEASE IGNORE</t>
  </si>
  <si>
    <t xml:space="preserve">           Trackers</t>
  </si>
  <si>
    <t xml:space="preserve">    MAUTAS: THE 90s MARVEL ANIMATED UNIVERSE</t>
  </si>
  <si>
    <t>First-time setup &amp; basics</t>
  </si>
  <si>
    <t>✅ Using the Atlas</t>
  </si>
  <si>
    <t>Parent or Ep</t>
  </si>
  <si>
    <t>Features, tips &amp; usage</t>
  </si>
  <si>
    <t>✨ Atlas Tools</t>
  </si>
  <si>
    <t>⭕📺 X-Men: The Animated Series - S01 (Oct 1992)</t>
  </si>
  <si>
    <t>Tools</t>
  </si>
  <si>
    <t>✏️ Editing Your Copy</t>
  </si>
  <si>
    <t>Customisation &amp; advanced edits</t>
  </si>
  <si>
    <t>💬 Community &amp; Misc</t>
  </si>
  <si>
    <t>❌ No</t>
  </si>
  <si>
    <t>Community, feedback, etc</t>
  </si>
  <si>
    <t>💖 Support the Project</t>
  </si>
  <si>
    <t>4h 46m
(0h 22m ea)</t>
  </si>
  <si>
    <t>X-Men &amp; Spider-Man AU
[Earth 92131]</t>
  </si>
  <si>
    <t>The original to X-Men'97! MAUTAS is here for X-Men'97. All fully skippable, recommended to watch a short version on YouTube for the plot.</t>
  </si>
  <si>
    <t>MAUTAS Completion:</t>
  </si>
  <si>
    <t>How to support the Project</t>
  </si>
  <si>
    <t>❓ FAQ</t>
  </si>
  <si>
    <t>Frequently asked questions</t>
  </si>
  <si>
    <t>⚖️ Legal Disclaimer</t>
  </si>
  <si>
    <t>Important legal information</t>
  </si>
  <si>
    <t>📢 Update Info</t>
  </si>
  <si>
    <t>Updating your copy</t>
  </si>
  <si>
    <t>📝 Update Log</t>
  </si>
  <si>
    <t>Full version history</t>
  </si>
  <si>
    <t xml:space="preserve">🚀 GETTING STARTED ‎ ‎ ‎ ‎ </t>
  </si>
  <si>
    <t>        ↳ Episode 1: Night of the Sentinels: Part 1</t>
  </si>
  <si>
    <t>0h 22m</t>
  </si>
  <si>
    <r>
      <rPr>
        <rFont val="Roboto"/>
        <b/>
        <color theme="1"/>
        <sz val="20.0"/>
      </rPr>
      <t>💻 First-Time Setup</t>
    </r>
    <r>
      <rPr>
        <rFont val="Roboto"/>
        <color theme="1"/>
        <sz val="15.0"/>
      </rPr>
      <t xml:space="preserve">
The Atlas is optimised to be used on a </t>
    </r>
    <r>
      <rPr>
        <rFont val="Roboto"/>
        <b/>
        <color theme="1"/>
        <sz val="15.0"/>
      </rPr>
      <t>mobile device</t>
    </r>
    <r>
      <rPr>
        <rFont val="Roboto"/>
        <color theme="1"/>
        <sz val="15.0"/>
      </rPr>
      <t xml:space="preserve">. 
However, I strongly recommend opening it on a </t>
    </r>
    <r>
      <rPr>
        <rFont val="Roboto"/>
        <b/>
        <color theme="1"/>
        <sz val="15.0"/>
      </rPr>
      <t>PC, Laptop, Tablet, or Desktop Browser</t>
    </r>
    <r>
      <rPr>
        <rFont val="Roboto"/>
        <color theme="1"/>
        <sz val="15.0"/>
      </rPr>
      <t xml:space="preserve"> first.
This allows you to accept the necessary permissions for Google Sheets to display images and make sure the Atlas's scripts work correctly.
The first time you use the Atlas's tools, Google may also ask you to </t>
    </r>
    <r>
      <rPr>
        <rFont val="Roboto"/>
        <b/>
        <color theme="1"/>
        <sz val="15.0"/>
      </rPr>
      <t>sign in and authorise the scripts</t>
    </r>
    <r>
      <rPr>
        <rFont val="Roboto"/>
        <color theme="1"/>
        <sz val="15.0"/>
      </rPr>
      <t xml:space="preserve">. This is normal and is required for the tools to work.
</t>
    </r>
    <r>
      <rPr>
        <rFont val="Roboto"/>
        <b/>
        <color theme="1"/>
        <sz val="15.0"/>
      </rPr>
      <t>No data is collected at all.</t>
    </r>
    <r>
      <rPr>
        <rFont val="Roboto"/>
        <color theme="1"/>
        <sz val="15.0"/>
      </rPr>
      <t xml:space="preserve"> It is strictly only needed to run scripts and display images.
Once you're all set up, I recommend using the</t>
    </r>
    <r>
      <rPr>
        <rFont val="Roboto"/>
        <b/>
        <color theme="1"/>
        <sz val="15.0"/>
      </rPr>
      <t xml:space="preserve"> Google Sheets App</t>
    </r>
    <r>
      <rPr>
        <rFont val="Roboto"/>
        <color theme="1"/>
        <sz val="15.0"/>
      </rPr>
      <t xml:space="preserve"> on your Phone or whatever is most comfy for the best experience!
</t>
    </r>
    <r>
      <rPr>
        <rFont val="Roboto"/>
        <b/>
        <color theme="1"/>
        <sz val="20.0"/>
      </rPr>
      <t>📋 Getting Started with the Checklist</t>
    </r>
    <r>
      <rPr>
        <rFont val="Roboto"/>
        <color theme="1"/>
        <sz val="15.0"/>
      </rPr>
      <t xml:space="preserve">
Once everything is set up, head over to the </t>
    </r>
    <r>
      <rPr>
        <rFont val="Roboto"/>
        <b/>
        <color theme="1"/>
        <sz val="15.0"/>
      </rPr>
      <t>Checklist Sheet</t>
    </r>
    <r>
      <rPr>
        <rFont val="Roboto"/>
        <color theme="1"/>
        <sz val="15.0"/>
      </rPr>
      <t xml:space="preserve"> using the sheet tabs at the bottom of your screen. </t>
    </r>
    <r>
      <rPr>
        <rFont val="Roboto"/>
        <i/>
        <color theme="1"/>
        <sz val="15.0"/>
      </rPr>
      <t xml:space="preserve">This is the whole point of The Atlas! Once you're here, you're pretty much ready to go! </t>
    </r>
    <r>
      <rPr>
        <rFont val="Roboto"/>
        <color theme="1"/>
        <sz val="15.0"/>
      </rPr>
      <t xml:space="preserve">From there, simply work your way through the Atlas and mark items as </t>
    </r>
    <r>
      <rPr>
        <rFont val="Roboto"/>
        <b/>
        <color theme="1"/>
        <sz val="15.0"/>
      </rPr>
      <t>Watched</t>
    </r>
    <r>
      <rPr>
        <rFont val="Roboto"/>
        <color theme="1"/>
        <sz val="15.0"/>
      </rPr>
      <t xml:space="preserve"> or </t>
    </r>
    <r>
      <rPr>
        <rFont val="Roboto"/>
        <b/>
        <color theme="1"/>
        <sz val="15.0"/>
      </rPr>
      <t>Skipped</t>
    </r>
    <r>
      <rPr>
        <rFont val="Roboto"/>
        <color theme="1"/>
        <sz val="15.0"/>
      </rPr>
      <t xml:space="preserve"> as you go.
The Atlas will automatically keep track of your progress for you.
</t>
    </r>
    <r>
      <rPr>
        <rFont val="Roboto"/>
        <b/>
        <color theme="1"/>
        <sz val="20.0"/>
      </rPr>
      <t>🗑️ When You're Done</t>
    </r>
    <r>
      <rPr>
        <rFont val="Roboto"/>
        <color theme="1"/>
        <sz val="15.0"/>
      </rPr>
      <t xml:space="preserve">
When you're comfortable using the Atlas, the </t>
    </r>
    <r>
      <rPr>
        <rFont val="Roboto"/>
        <b/>
        <color theme="1"/>
        <sz val="15.0"/>
      </rPr>
      <t>Welcome Sheet can safely be deleted</t>
    </r>
    <r>
      <rPr>
        <rFont val="Roboto"/>
        <color theme="1"/>
        <sz val="15.0"/>
      </rPr>
      <t xml:space="preserve"> if you wish. It's purely an information and welcome hub, and isn't used for the Checklist itself.</t>
    </r>
  </si>
  <si>
    <t>        ↳ Episode 2: Night of the Sentinels: Part 2</t>
  </si>
  <si>
    <t>✅ USING THE ATLAS</t>
  </si>
  <si>
    <t>        ↳ Episode 3: Enter Magneto</t>
  </si>
  <si>
    <t>        ↳ Episode 4: Deadly Reunions</t>
  </si>
  <si>
    <r>
      <rPr>
        <rFont val="Roboto"/>
        <b/>
        <color theme="1"/>
        <sz val="20.0"/>
      </rPr>
      <t>☑️ Watched &amp; Skipped</t>
    </r>
    <r>
      <rPr>
        <rFont val="Roboto"/>
        <color theme="1"/>
        <sz val="15.0"/>
      </rPr>
      <t xml:space="preserve">
As you work your way through the Atlas, tick simply </t>
    </r>
    <r>
      <rPr>
        <rFont val="Roboto"/>
        <b/>
        <color theme="1"/>
        <sz val="15.0"/>
      </rPr>
      <t xml:space="preserve">Watched </t>
    </r>
    <r>
      <rPr>
        <rFont val="Roboto"/>
        <color theme="1"/>
        <sz val="15.0"/>
      </rPr>
      <t xml:space="preserve">as you go.
If you don't want to watch something, you can instead tick </t>
    </r>
    <r>
      <rPr>
        <rFont val="Roboto"/>
        <b/>
        <color theme="1"/>
        <sz val="15.0"/>
      </rPr>
      <t xml:space="preserve">Skipped </t>
    </r>
    <r>
      <rPr>
        <rFont val="Roboto"/>
        <color theme="1"/>
        <sz val="15.0"/>
      </rPr>
      <t xml:space="preserve">instead. Ezpz.
If you do skip something, I recommend watching a quick recap on YouTube.
Something along the lines of "[X] in 10 minutes", in case it's referenced later on.
While not everything is equally important, everything in the Atlas connects in some way at some point.
Once an entry is marked as </t>
    </r>
    <r>
      <rPr>
        <rFont val="Roboto"/>
        <b/>
        <color theme="1"/>
        <sz val="15.0"/>
      </rPr>
      <t>Watched</t>
    </r>
    <r>
      <rPr>
        <rFont val="Roboto"/>
        <color theme="1"/>
        <sz val="15.0"/>
      </rPr>
      <t xml:space="preserve"> or </t>
    </r>
    <r>
      <rPr>
        <rFont val="Roboto"/>
        <b/>
        <color theme="1"/>
        <sz val="15.0"/>
      </rPr>
      <t>Skipped</t>
    </r>
    <r>
      <rPr>
        <rFont val="Roboto"/>
        <color theme="1"/>
        <sz val="15.0"/>
      </rPr>
      <t xml:space="preserve">, the row will automatically </t>
    </r>
    <r>
      <rPr>
        <rFont val="Roboto"/>
        <b/>
        <color theme="1"/>
        <sz val="15.0"/>
      </rPr>
      <t>fade and strike through</t>
    </r>
    <r>
      <rPr>
        <rFont val="Roboto"/>
        <color theme="1"/>
        <sz val="15.0"/>
      </rPr>
      <t xml:space="preserve">, making it easy to see what's already been completed and what's next ahead.
You can change your mind at any time, simply untick the box to return the entry to its normal state.
</t>
    </r>
    <r>
      <rPr>
        <rFont val="Roboto"/>
        <b/>
        <color theme="1"/>
        <sz val="20.0"/>
      </rPr>
      <t>📺 Episodes &amp; Series</t>
    </r>
    <r>
      <rPr>
        <rFont val="Roboto"/>
        <color theme="1"/>
        <sz val="15.0"/>
      </rPr>
      <t xml:space="preserve">
You'll notice a little </t>
    </r>
    <r>
      <rPr>
        <rFont val="Roboto"/>
        <b/>
        <color theme="1"/>
        <sz val="15.0"/>
      </rPr>
      <t>plus symbol (+)</t>
    </r>
    <r>
      <rPr>
        <rFont val="Roboto"/>
        <color theme="1"/>
        <sz val="15.0"/>
      </rPr>
      <t xml:space="preserve"> on the left, next to each series.
</t>
    </r>
    <r>
      <rPr>
        <rFont val="Roboto"/>
        <b/>
        <color theme="1"/>
        <sz val="15.0"/>
      </rPr>
      <t>Click/tap it</t>
    </r>
    <r>
      <rPr>
        <rFont val="Roboto"/>
        <color theme="1"/>
        <sz val="15.0"/>
      </rPr>
      <t xml:space="preserve"> to expand the series and see all of its individual episodes.
These are the individual </t>
    </r>
    <r>
      <rPr>
        <rFont val="Roboto"/>
        <b/>
        <color theme="1"/>
        <sz val="15.0"/>
      </rPr>
      <t>Episode Trackers.</t>
    </r>
    <r>
      <rPr>
        <rFont val="Roboto"/>
        <color theme="1"/>
        <sz val="15.0"/>
      </rPr>
      <t xml:space="preserve">
You can mark each episode off as you watch them, or tick the main season box.
For example, ticking </t>
    </r>
    <r>
      <rPr>
        <rFont val="Roboto"/>
        <i/>
        <color theme="1"/>
        <sz val="15.0"/>
      </rPr>
      <t>"Agent Carter S01"</t>
    </r>
    <r>
      <rPr>
        <rFont val="Roboto"/>
        <color theme="1"/>
        <sz val="15.0"/>
      </rPr>
      <t xml:space="preserve"> will automatically check all of its episodes.
Sometimes, there may be a slight lag when checking an entire series at once.
That's just Google Sheets' servers doing their thing. Annoying, but totally normal!
</t>
    </r>
    <r>
      <rPr>
        <rFont val="Roboto"/>
        <b/>
        <color theme="1"/>
        <sz val="20.0"/>
      </rPr>
      <t>🎦 After Credits</t>
    </r>
    <r>
      <rPr>
        <rFont val="Roboto"/>
        <color theme="1"/>
        <sz val="15.0"/>
      </rPr>
      <t xml:space="preserve">
The </t>
    </r>
    <r>
      <rPr>
        <rFont val="Roboto"/>
        <b/>
        <color theme="1"/>
        <sz val="15.0"/>
      </rPr>
      <t>AfterCred 🎦</t>
    </r>
    <r>
      <rPr>
        <rFont val="Roboto"/>
        <color theme="1"/>
        <sz val="15.0"/>
      </rPr>
      <t xml:space="preserve"> column shows whether an entry has any after credits scenes, and how many. 
</t>
    </r>
    <r>
      <rPr>
        <rFont val="Roboto"/>
        <i/>
        <color theme="1"/>
        <sz val="15.0"/>
      </rPr>
      <t xml:space="preserve">(This includes </t>
    </r>
    <r>
      <rPr>
        <rFont val="Roboto"/>
        <b/>
        <i/>
        <color theme="1"/>
        <sz val="15.0"/>
      </rPr>
      <t>after-credits, mid-credits, and other bonus scenes.)</t>
    </r>
    <r>
      <rPr>
        <rFont val="Roboto"/>
        <color theme="1"/>
        <sz val="15.0"/>
      </rPr>
      <t xml:space="preserve">
</t>
    </r>
    <r>
      <rPr>
        <rFont val="Roboto"/>
        <b/>
        <color theme="1"/>
        <sz val="20.0"/>
      </rPr>
      <t>🕓 Runtime</t>
    </r>
    <r>
      <rPr>
        <rFont val="Roboto"/>
        <color theme="1"/>
        <sz val="15.0"/>
      </rPr>
      <t xml:space="preserve">
The</t>
    </r>
    <r>
      <rPr>
        <rFont val="Roboto"/>
        <b/>
        <color theme="1"/>
        <sz val="15.0"/>
      </rPr>
      <t xml:space="preserve"> Runtime 🕓</t>
    </r>
    <r>
      <rPr>
        <rFont val="Roboto"/>
        <color theme="1"/>
        <sz val="15.0"/>
      </rPr>
      <t xml:space="preserve"> column shows the runtime for each entry.
I also include an estimated runtime for series' as well as the runtime of each individual episode.
</t>
    </r>
    <r>
      <rPr>
        <rFont val="Roboto"/>
        <b/>
        <color theme="1"/>
        <sz val="20.0"/>
      </rPr>
      <t>🌠 Universe</t>
    </r>
    <r>
      <rPr>
        <rFont val="Roboto"/>
        <color theme="1"/>
        <sz val="15.0"/>
      </rPr>
      <t xml:space="preserve">
The </t>
    </r>
    <r>
      <rPr>
        <rFont val="Roboto"/>
        <b/>
        <color theme="1"/>
        <sz val="15.0"/>
      </rPr>
      <t>Universe 🌠</t>
    </r>
    <r>
      <rPr>
        <rFont val="Roboto"/>
        <color theme="1"/>
        <sz val="15.0"/>
      </rPr>
      <t xml:space="preserve"> column identifies the </t>
    </r>
    <r>
      <rPr>
        <rFont val="Roboto"/>
        <b/>
        <color theme="1"/>
        <sz val="15.0"/>
      </rPr>
      <t>Universe/Continuity</t>
    </r>
    <r>
      <rPr>
        <rFont val="Roboto"/>
        <color theme="1"/>
        <sz val="15.0"/>
      </rPr>
      <t xml:space="preserve"> an entry belongs to.
Along with its corresponding </t>
    </r>
    <r>
      <rPr>
        <rFont val="Roboto"/>
        <b/>
        <color theme="1"/>
        <sz val="15.0"/>
      </rPr>
      <t>Earth designation,</t>
    </r>
    <r>
      <rPr>
        <rFont val="Roboto"/>
        <color theme="1"/>
        <sz val="15.0"/>
      </rPr>
      <t xml:space="preserve"> (aka UID — Universe Identifier).
</t>
    </r>
    <r>
      <rPr>
        <rFont val="Roboto"/>
        <i/>
        <color theme="1"/>
        <sz val="15.0"/>
      </rPr>
      <t xml:space="preserve">(I list all of the resources I use as sources of information on the </t>
    </r>
    <r>
      <rPr>
        <rFont val="Roboto"/>
        <b/>
        <i/>
        <color theme="1"/>
        <sz val="15.0"/>
      </rPr>
      <t>SubReddit.</t>
    </r>
    <r>
      <rPr>
        <rFont val="Roboto"/>
        <i/>
        <color theme="1"/>
        <sz val="15.0"/>
      </rPr>
      <t>)</t>
    </r>
    <r>
      <rPr>
        <rFont val="Roboto"/>
        <color theme="1"/>
        <sz val="15.0"/>
      </rPr>
      <t xml:space="preserve">
</t>
    </r>
    <r>
      <rPr>
        <rFont val="Roboto"/>
        <b/>
        <color theme="1"/>
        <sz val="20.0"/>
      </rPr>
      <t>📝 Notes</t>
    </r>
    <r>
      <rPr>
        <rFont val="Roboto"/>
        <color theme="1"/>
        <sz val="15.0"/>
      </rPr>
      <t xml:space="preserve">
The </t>
    </r>
    <r>
      <rPr>
        <rFont val="Roboto"/>
        <b/>
        <color theme="1"/>
        <sz val="15.0"/>
      </rPr>
      <t>Notes 📝</t>
    </r>
    <r>
      <rPr>
        <rFont val="Roboto"/>
        <color theme="1"/>
        <sz val="15.0"/>
      </rPr>
      <t xml:space="preserve"> column is pretty self-explanatory.
It can include things such as:
• Viewing order adjustments/recommendations.
• Important connections or additional context.
• General useful information.
• You can also write your own notes in if you want to!
Keep an eye on this column incase something important is written!
</t>
    </r>
    <r>
      <rPr>
        <rFont val="Roboto"/>
        <b/>
        <color theme="1"/>
        <sz val="20.0"/>
      </rPr>
      <t>📊 Progress Trackers</t>
    </r>
    <r>
      <rPr>
        <rFont val="Roboto"/>
        <color theme="1"/>
        <sz val="15.0"/>
      </rPr>
      <t xml:space="preserve">
</t>
    </r>
    <r>
      <rPr>
        <rFont val="Roboto"/>
        <b/>
        <color theme="1"/>
        <sz val="15.0"/>
      </rPr>
      <t>Progress Trackers</t>
    </r>
    <r>
      <rPr>
        <rFont val="Roboto"/>
        <color theme="1"/>
        <sz val="15.0"/>
      </rPr>
      <t xml:space="preserve"> help you keep track of how far you've made it through each Phase/Section.
These update automatically as you mark entries as </t>
    </r>
    <r>
      <rPr>
        <rFont val="Roboto"/>
        <b/>
        <color theme="1"/>
        <sz val="15.0"/>
      </rPr>
      <t>Watched</t>
    </r>
    <r>
      <rPr>
        <rFont val="Roboto"/>
        <color theme="1"/>
        <sz val="15.0"/>
      </rPr>
      <t xml:space="preserve"> or </t>
    </r>
    <r>
      <rPr>
        <rFont val="Roboto"/>
        <b/>
        <color theme="1"/>
        <sz val="15.0"/>
      </rPr>
      <t>Skipped.</t>
    </r>
    <r>
      <rPr>
        <rFont val="Roboto"/>
        <color theme="1"/>
        <sz val="15.0"/>
      </rPr>
      <t xml:space="preserve">
</t>
    </r>
  </si>
  <si>
    <t>        ↳ Episode 5: Captive Hearts</t>
  </si>
  <si>
    <t xml:space="preserve">✨ ATLAS TOOLS ‎ ‎ ‎ ‎ </t>
  </si>
  <si>
    <t>        ↳ Episode 6: Cold Vengeance</t>
  </si>
  <si>
    <t>        ↳ Episode 7: Slave Island</t>
  </si>
  <si>
    <t>        ↳ Episode 8: The Unstoppable Juggernaut</t>
  </si>
  <si>
    <t>        ↳ Episode 9: The Cure</t>
  </si>
  <si>
    <r>
      <rPr>
        <rFont val="Arial"/>
        <color theme="1"/>
        <sz val="15.0"/>
      </rPr>
      <t xml:space="preserve">The </t>
    </r>
    <r>
      <rPr>
        <rFont val="Arial"/>
        <b/>
        <color theme="1"/>
        <sz val="15.0"/>
      </rPr>
      <t>✨ Atlas Tools</t>
    </r>
    <r>
      <rPr>
        <rFont val="Arial"/>
        <color theme="1"/>
        <sz val="15.0"/>
      </rPr>
      <t xml:space="preserve"> menu can be found along the top of your spreadsheet.
Some useful tools to help you manage your Atlas, especially when updating to the newest version.
</t>
    </r>
    <r>
      <rPr>
        <rFont val="Arial"/>
        <b/>
        <color theme="1"/>
        <sz val="20.0"/>
      </rPr>
      <t>📥 Import From Previous Atlas</t>
    </r>
    <r>
      <rPr>
        <rFont val="Arial"/>
        <color theme="1"/>
        <sz val="15.0"/>
      </rPr>
      <t xml:space="preserve">
If you've been using an older version, you can use this to import your progress into a newer copy.
• ✅ </t>
    </r>
    <r>
      <rPr>
        <rFont val="Arial"/>
        <b/>
        <color theme="1"/>
        <sz val="15.0"/>
      </rPr>
      <t>Import Checkmarks</t>
    </r>
    <r>
      <rPr>
        <rFont val="Arial"/>
        <color theme="1"/>
        <sz val="15.0"/>
      </rPr>
      <t xml:space="preserve"> - Imports your </t>
    </r>
    <r>
      <rPr>
        <rFont val="Arial"/>
        <b/>
        <color theme="1"/>
        <sz val="15.0"/>
      </rPr>
      <t xml:space="preserve">Watched/Skipped </t>
    </r>
    <r>
      <rPr>
        <rFont val="Arial"/>
        <color theme="1"/>
        <sz val="15.0"/>
      </rPr>
      <t xml:space="preserve">checkmarks.
• 📝 </t>
    </r>
    <r>
      <rPr>
        <rFont val="Arial"/>
        <b/>
        <color theme="1"/>
        <sz val="15.0"/>
      </rPr>
      <t>Import Notes</t>
    </r>
    <r>
      <rPr>
        <rFont val="Arial"/>
        <color theme="1"/>
        <sz val="15.0"/>
      </rPr>
      <t xml:space="preserve"> - Copies over </t>
    </r>
    <r>
      <rPr>
        <rFont val="Arial"/>
        <b/>
        <color theme="1"/>
        <sz val="15.0"/>
      </rPr>
      <t>all notes</t>
    </r>
    <r>
      <rPr>
        <rFont val="Arial"/>
        <color theme="1"/>
        <sz val="15.0"/>
      </rPr>
      <t xml:space="preserve"> from your previous copy.
</t>
    </r>
    <r>
      <rPr>
        <rFont val="Arial"/>
        <b/>
        <color theme="1"/>
        <sz val="15.0"/>
      </rPr>
      <t xml:space="preserve">⚠️ Note:
</t>
    </r>
    <r>
      <rPr>
        <rFont val="Arial"/>
        <color theme="1"/>
        <sz val="15.0"/>
      </rPr>
      <t xml:space="preserve">Some versions may require you manually re-ticking everything if the structure or entries have changed. Also if you've made your own edits to the Atlas, it's likely it </t>
    </r>
    <r>
      <rPr>
        <rFont val="Arial"/>
        <b/>
        <color theme="1"/>
        <sz val="15.0"/>
      </rPr>
      <t xml:space="preserve">won't import correctly </t>
    </r>
    <r>
      <rPr>
        <rFont val="Arial"/>
        <color theme="1"/>
        <sz val="15.0"/>
      </rPr>
      <t xml:space="preserve">either.
</t>
    </r>
    <r>
      <rPr>
        <rFont val="Arial"/>
        <b/>
        <color theme="1"/>
        <sz val="20.0"/>
      </rPr>
      <t>🔄 Reset Current Progress</t>
    </r>
    <r>
      <rPr>
        <rFont val="Arial"/>
        <color theme="1"/>
        <sz val="15.0"/>
      </rPr>
      <t xml:space="preserve">
Want to start over and clear your current progress?
• 🗑️✅ </t>
    </r>
    <r>
      <rPr>
        <rFont val="Arial"/>
        <b/>
        <color theme="1"/>
        <sz val="15.0"/>
      </rPr>
      <t>Reset Checkmarks</t>
    </r>
    <r>
      <rPr>
        <rFont val="Arial"/>
        <color theme="1"/>
        <sz val="15.0"/>
      </rPr>
      <t xml:space="preserve"> - Resets all </t>
    </r>
    <r>
      <rPr>
        <rFont val="Arial"/>
        <b/>
        <color theme="1"/>
        <sz val="15.0"/>
      </rPr>
      <t>Watched/Skipped</t>
    </r>
    <r>
      <rPr>
        <rFont val="Arial"/>
        <color theme="1"/>
        <sz val="15.0"/>
      </rPr>
      <t xml:space="preserve"> checkmarks.
• 🗑️📝 </t>
    </r>
    <r>
      <rPr>
        <rFont val="Arial"/>
        <b/>
        <color theme="1"/>
        <sz val="15.0"/>
      </rPr>
      <t>Clear All Notes</t>
    </r>
    <r>
      <rPr>
        <rFont val="Arial"/>
        <color theme="1"/>
        <sz val="15.0"/>
      </rPr>
      <t xml:space="preserve"> - Removes all </t>
    </r>
    <r>
      <rPr>
        <rFont val="Arial"/>
        <b/>
        <color theme="1"/>
        <sz val="15.0"/>
      </rPr>
      <t>notes</t>
    </r>
    <r>
      <rPr>
        <rFont val="Arial"/>
        <color theme="1"/>
        <sz val="15.0"/>
      </rPr>
      <t xml:space="preserve"> entirely. </t>
    </r>
    <r>
      <rPr>
        <rFont val="Arial"/>
        <i/>
        <color theme="1"/>
        <sz val="15.0"/>
      </rPr>
      <t>(Including the original ones!)</t>
    </r>
    <r>
      <rPr>
        <rFont val="Arial"/>
        <color theme="1"/>
        <sz val="15.0"/>
      </rPr>
      <t xml:space="preserve">
</t>
    </r>
    <r>
      <rPr>
        <rFont val="Arial"/>
        <b/>
        <color theme="1"/>
        <sz val="20.0"/>
      </rPr>
      <t>🎨 Apply New Colour Palettes</t>
    </r>
    <r>
      <rPr>
        <rFont val="Arial"/>
        <color theme="1"/>
        <sz val="15.0"/>
      </rPr>
      <t xml:space="preserve">
Applies the colour palettes you set in the </t>
    </r>
    <r>
      <rPr>
        <rFont val="Arial"/>
        <b/>
        <color theme="1"/>
        <sz val="15.0"/>
      </rPr>
      <t xml:space="preserve">ColourPalettes </t>
    </r>
    <r>
      <rPr>
        <rFont val="Arial"/>
        <color theme="1"/>
        <sz val="15.0"/>
      </rPr>
      <t>Sheet.</t>
    </r>
    <r>
      <rPr>
        <rFont val="Arial"/>
        <i/>
        <color theme="1"/>
        <sz val="15.0"/>
      </rPr>
      <t xml:space="preserve">
Please see the </t>
    </r>
    <r>
      <rPr>
        <rFont val="Arial"/>
        <b/>
        <i/>
        <color theme="1"/>
        <sz val="15.0"/>
      </rPr>
      <t>ColourPalettes</t>
    </r>
    <r>
      <rPr>
        <rFont val="Arial"/>
        <i/>
        <color theme="1"/>
        <sz val="15.0"/>
      </rPr>
      <t xml:space="preserve"> Sheet itself for instructions and more information.</t>
    </r>
    <r>
      <rPr>
        <rFont val="Arial"/>
        <color theme="1"/>
        <sz val="15.0"/>
      </rPr>
      <t xml:space="preserve">
</t>
    </r>
    <r>
      <rPr>
        <rFont val="Arial"/>
        <b/>
        <color theme="1"/>
        <sz val="20.0"/>
      </rPr>
      <t>⚠️ Important!</t>
    </r>
    <r>
      <rPr>
        <rFont val="Arial"/>
        <color theme="1"/>
        <sz val="15.0"/>
      </rPr>
      <t xml:space="preserve">
• Can't see the </t>
    </r>
    <r>
      <rPr>
        <rFont val="Arial"/>
        <b/>
        <color theme="1"/>
        <sz val="15.0"/>
      </rPr>
      <t>✨ Atlas Tools</t>
    </r>
    <r>
      <rPr>
        <rFont val="Arial"/>
        <color theme="1"/>
        <sz val="15.0"/>
      </rPr>
      <t xml:space="preserve"> menu?
</t>
    </r>
    <r>
      <rPr>
        <rFont val="Arial"/>
        <i/>
        <color theme="1"/>
        <sz val="15.0"/>
      </rPr>
      <t xml:space="preserve">Try </t>
    </r>
    <r>
      <rPr>
        <rFont val="Arial"/>
        <b/>
        <i/>
        <color theme="1"/>
        <sz val="15.0"/>
      </rPr>
      <t>refreshing/reopening</t>
    </r>
    <r>
      <rPr>
        <rFont val="Arial"/>
        <i/>
        <color theme="1"/>
        <sz val="15.0"/>
      </rPr>
      <t xml:space="preserve">, or open it on a </t>
    </r>
    <r>
      <rPr>
        <rFont val="Arial"/>
        <b/>
        <i/>
        <color theme="1"/>
        <sz val="15.0"/>
      </rPr>
      <t>Desktop Browser</t>
    </r>
    <r>
      <rPr>
        <rFont val="Arial"/>
        <i/>
        <color theme="1"/>
        <sz val="15.0"/>
      </rPr>
      <t>.</t>
    </r>
    <r>
      <rPr>
        <rFont val="Arial"/>
        <color theme="1"/>
        <sz val="15.0"/>
      </rPr>
      <t xml:space="preserve">
• The first time you use the </t>
    </r>
    <r>
      <rPr>
        <rFont val="Arial"/>
        <b/>
        <color theme="1"/>
        <sz val="15.0"/>
      </rPr>
      <t>Atlas's Tools</t>
    </r>
    <r>
      <rPr>
        <rFont val="Arial"/>
        <color theme="1"/>
        <sz val="15.0"/>
      </rPr>
      <t xml:space="preserve">, Google may also ask you to </t>
    </r>
    <r>
      <rPr>
        <rFont val="Arial"/>
        <b/>
        <color theme="1"/>
        <sz val="15.0"/>
      </rPr>
      <t xml:space="preserve">sign in and authorise the scripts. </t>
    </r>
    <r>
      <rPr>
        <rFont val="Arial"/>
        <color theme="1"/>
        <sz val="15.0"/>
      </rPr>
      <t>This is normal and is required for the tools to work.</t>
    </r>
    <r>
      <rPr>
        <rFont val="Arial"/>
        <i/>
        <color theme="1"/>
        <sz val="15.0"/>
      </rPr>
      <t xml:space="preserve"> </t>
    </r>
    <r>
      <rPr>
        <rFont val="Arial"/>
        <b/>
        <color theme="1"/>
        <sz val="15.0"/>
      </rPr>
      <t>No data is collected at all.</t>
    </r>
    <r>
      <rPr>
        <rFont val="Arial"/>
        <b/>
        <i/>
        <color theme="1"/>
        <sz val="15.0"/>
      </rPr>
      <t xml:space="preserve"> </t>
    </r>
    <r>
      <rPr>
        <rFont val="Arial"/>
        <b/>
        <color theme="1"/>
        <sz val="15.0"/>
      </rPr>
      <t>It is strictly only needed to run scripts and display images.</t>
    </r>
  </si>
  <si>
    <t>        ↳ Episode 10: Come the Apocalypse</t>
  </si>
  <si>
    <t>        ↳ Episode 11: Days of Future Past Part I</t>
  </si>
  <si>
    <t xml:space="preserve">✏️ EDITING YOUR COPY ‎ ‎ ‎ ‎ </t>
  </si>
  <si>
    <t>        ↳ Episode 12: Days of Future Past Part II</t>
  </si>
  <si>
    <t>        ↳ Episode 13: The Final Decision</t>
  </si>
  <si>
    <t>⭕📺 X-Men: The Animated Series - S02 (Nov 1993)</t>
  </si>
  <si>
    <r>
      <rPr>
        <rFont val="Roboto"/>
        <b/>
        <color theme="1"/>
        <sz val="20.0"/>
      </rPr>
      <t xml:space="preserve">🎨 Colours &amp; Theming
</t>
    </r>
    <r>
      <rPr>
        <rFont val="Roboto"/>
        <color theme="1"/>
        <sz val="15.0"/>
      </rPr>
      <t xml:space="preserve">You can easily customise your Atlas's colours using the </t>
    </r>
    <r>
      <rPr>
        <rFont val="Roboto"/>
        <b/>
        <color theme="1"/>
        <sz val="15.0"/>
      </rPr>
      <t>ColourPalettes</t>
    </r>
    <r>
      <rPr>
        <rFont val="Roboto"/>
        <color theme="1"/>
        <sz val="15.0"/>
      </rPr>
      <t xml:space="preserve"> Sheet.
Instructions are included in the Sheet itself.
</t>
    </r>
    <r>
      <rPr>
        <rFont val="Roboto"/>
        <b/>
        <color theme="1"/>
        <sz val="20.0"/>
      </rPr>
      <t>‼️</t>
    </r>
    <r>
      <rPr>
        <rFont val="Roboto"/>
        <b/>
        <color theme="1"/>
        <sz val="20.0"/>
        <u/>
      </rPr>
      <t>Editing is not recommended for beginners.</t>
    </r>
    <r>
      <rPr>
        <rFont val="Roboto"/>
        <color theme="1"/>
        <sz val="15.0"/>
      </rPr>
      <t xml:space="preserve">
Google Sheets / Apps Script experience is strongly advised.
You can absolutely customise your own copy! Just please know what you're getting yourself into. Parts of the Atlas are connected through formulas, hidden columns, Progress Trackers, and Apps Script.
Changing the structure can break these, so tread carefully!
</t>
    </r>
    <r>
      <rPr>
        <rFont val="Roboto"/>
        <b/>
        <color theme="1"/>
        <sz val="20.0"/>
      </rPr>
      <t>🗑️ Removing Entries</t>
    </r>
    <r>
      <rPr>
        <rFont val="Roboto"/>
        <color theme="1"/>
        <sz val="15.0"/>
      </rPr>
      <t xml:space="preserve">
If you only want to remove something, </t>
    </r>
    <r>
      <rPr>
        <rFont val="Roboto"/>
        <b/>
        <color theme="1"/>
        <sz val="15.0"/>
      </rPr>
      <t xml:space="preserve">please use the “Skipped” box instead of deleting the row! 
</t>
    </r>
    <r>
      <rPr>
        <rFont val="Roboto"/>
        <color theme="1"/>
        <sz val="15.0"/>
      </rPr>
      <t xml:space="preserve">Then you can </t>
    </r>
    <r>
      <rPr>
        <rFont val="Roboto"/>
        <b/>
        <color theme="1"/>
        <sz val="15.0"/>
      </rPr>
      <t xml:space="preserve">"Hide" </t>
    </r>
    <r>
      <rPr>
        <rFont val="Roboto"/>
        <color theme="1"/>
        <sz val="15.0"/>
      </rPr>
      <t xml:space="preserve">the row if you like too.
</t>
    </r>
    <r>
      <rPr>
        <rFont val="Roboto"/>
        <b/>
        <color theme="1"/>
        <sz val="15.0"/>
      </rPr>
      <t xml:space="preserve">Right-click the row → "Hide row".
</t>
    </r>
    <r>
      <rPr>
        <rFont val="Roboto"/>
        <color theme="1"/>
        <sz val="15.0"/>
      </rPr>
      <t xml:space="preserve">
Trackers ignore skipped items, so you can effectively remove something without breaking anything. </t>
    </r>
    <r>
      <rPr>
        <rFont val="Roboto"/>
        <b/>
        <color theme="1"/>
        <sz val="15.0"/>
      </rPr>
      <t>IF you delete the</t>
    </r>
    <r>
      <rPr>
        <rFont val="Roboto"/>
        <color theme="1"/>
        <sz val="15.0"/>
      </rPr>
      <t xml:space="preserve"> </t>
    </r>
    <r>
      <rPr>
        <rFont val="Roboto"/>
        <b/>
        <color theme="1"/>
        <sz val="15.0"/>
      </rPr>
      <t>rows, you will break formulas and scripts.</t>
    </r>
    <r>
      <rPr>
        <rFont val="Roboto"/>
        <color theme="1"/>
        <sz val="15.0"/>
      </rPr>
      <t xml:space="preserve">
</t>
    </r>
    <r>
      <rPr>
        <rFont val="Roboto"/>
        <b/>
        <color theme="1"/>
        <sz val="20.0"/>
      </rPr>
      <t>☰ Structure &amp; Segments</t>
    </r>
    <r>
      <rPr>
        <rFont val="Roboto"/>
        <color theme="1"/>
        <sz val="15.0"/>
      </rPr>
      <t xml:space="preserve">
The Atlas's structure is tied into its </t>
    </r>
    <r>
      <rPr>
        <rFont val="Roboto"/>
        <b/>
        <color theme="1"/>
        <sz val="15.0"/>
      </rPr>
      <t>Progress Trackers and Apps Script</t>
    </r>
    <r>
      <rPr>
        <rFont val="Roboto"/>
        <color theme="1"/>
        <sz val="15.0"/>
      </rPr>
      <t xml:space="preserve">.
Altering entries can therefore cause things to stop working correctly.
Advanced users can edit the </t>
    </r>
    <r>
      <rPr>
        <rFont val="Roboto"/>
        <b/>
        <color theme="1"/>
        <sz val="15.0"/>
      </rPr>
      <t>Trackers</t>
    </r>
    <r>
      <rPr>
        <rFont val="Roboto"/>
        <color theme="1"/>
        <sz val="15.0"/>
      </rPr>
      <t xml:space="preserve"> and </t>
    </r>
    <r>
      <rPr>
        <rFont val="Roboto"/>
        <b/>
        <color theme="1"/>
        <sz val="15.0"/>
      </rPr>
      <t>Apps Script</t>
    </r>
    <r>
      <rPr>
        <rFont val="Roboto"/>
        <color theme="1"/>
        <sz val="15.0"/>
      </rPr>
      <t xml:space="preserve"> in your own copy if you so wish, but you will need to replicate if you ever import to a new version.
⚠️</t>
    </r>
    <r>
      <rPr>
        <rFont val="Roboto"/>
        <b/>
        <color theme="1"/>
        <sz val="15.0"/>
      </rPr>
      <t>Modifying the structure will break compatibility with future progress imports.</t>
    </r>
    <r>
      <rPr>
        <rFont val="Roboto"/>
        <color theme="1"/>
        <sz val="15.0"/>
      </rPr>
      <t xml:space="preserve">
</t>
    </r>
    <r>
      <rPr>
        <rFont val="Roboto"/>
        <b/>
        <color theme="1"/>
        <sz val="20.0"/>
      </rPr>
      <t>📁 Series/Seasons</t>
    </r>
    <r>
      <rPr>
        <rFont val="Roboto"/>
        <color theme="1"/>
        <sz val="15.0"/>
      </rPr>
      <t xml:space="preserve">
Each series are grouped rows, that can then be expanded using the "</t>
    </r>
    <r>
      <rPr>
        <rFont val="Roboto"/>
        <b/>
        <color theme="1"/>
        <sz val="15.0"/>
      </rPr>
      <t>+</t>
    </r>
    <r>
      <rPr>
        <rFont val="Roboto"/>
        <color theme="1"/>
        <sz val="15.0"/>
      </rPr>
      <t xml:space="preserve">" symbol.
There are a two things to be aware of if you modify these:
</t>
    </r>
    <r>
      <rPr>
        <rFont val="Roboto"/>
        <b/>
        <color theme="1"/>
        <sz val="15.0"/>
      </rPr>
      <t xml:space="preserve">1) </t>
    </r>
    <r>
      <rPr>
        <rFont val="Roboto"/>
        <color theme="1"/>
        <sz val="15.0"/>
      </rPr>
      <t>A hidden column, (</t>
    </r>
    <r>
      <rPr>
        <rFont val="Roboto"/>
        <b/>
        <color theme="1"/>
        <sz val="15.0"/>
      </rPr>
      <t>H</t>
    </r>
    <r>
      <rPr>
        <rFont val="Roboto"/>
        <color theme="1"/>
        <sz val="15.0"/>
      </rPr>
      <t xml:space="preserve">), flags each row as a </t>
    </r>
    <r>
      <rPr>
        <rFont val="Roboto"/>
        <b/>
        <color theme="1"/>
        <sz val="15.0"/>
      </rPr>
      <t>Parent/Ep</t>
    </r>
    <r>
      <rPr>
        <rFont val="Roboto"/>
        <color theme="1"/>
        <sz val="15.0"/>
      </rPr>
      <t xml:space="preserve">.
Only Parent rows count towards the Progress Trackers.
</t>
    </r>
    <r>
      <rPr>
        <rFont val="Roboto"/>
        <b/>
        <color theme="1"/>
        <sz val="15.0"/>
      </rPr>
      <t>2)</t>
    </r>
    <r>
      <rPr>
        <rFont val="Roboto"/>
        <color theme="1"/>
        <sz val="15.0"/>
      </rPr>
      <t xml:space="preserve"> If you change the structure, you will also need to update the related ranges in </t>
    </r>
    <r>
      <rPr>
        <rFont val="Roboto"/>
        <b/>
        <color theme="1"/>
        <sz val="15.0"/>
      </rPr>
      <t>Apps Script</t>
    </r>
    <r>
      <rPr>
        <rFont val="Roboto"/>
        <color theme="1"/>
        <sz val="15.0"/>
      </rPr>
      <t xml:space="preserve">. - </t>
    </r>
    <r>
      <rPr>
        <rFont val="Roboto"/>
        <i/>
        <color theme="1"/>
        <sz val="15.0"/>
      </rPr>
      <t>I left some notes/guides in the code.</t>
    </r>
    <r>
      <rPr>
        <rFont val="Roboto"/>
        <color theme="1"/>
        <sz val="15.0"/>
      </rPr>
      <t xml:space="preserve">
</t>
    </r>
    <r>
      <rPr>
        <rFont val="Roboto"/>
        <b/>
        <color theme="1"/>
        <sz val="20.0"/>
      </rPr>
      <t>📊 Progress Trackers</t>
    </r>
    <r>
      <rPr>
        <rFont val="Roboto"/>
        <color theme="1"/>
        <sz val="15.0"/>
      </rPr>
      <t xml:space="preserve">
Progress Trackers require </t>
    </r>
    <r>
      <rPr>
        <rFont val="Roboto"/>
        <b/>
        <color theme="1"/>
        <sz val="15.0"/>
      </rPr>
      <t>manual updates when altering the structure at all</t>
    </r>
    <r>
      <rPr>
        <rFont val="Roboto"/>
        <color theme="1"/>
        <sz val="15.0"/>
      </rPr>
      <t>.
It should be simple enough to read and get the gist.</t>
    </r>
  </si>
  <si>
    <t>MAUTAS Skipped:</t>
  </si>
  <si>
    <t xml:space="preserve">💬 COMMUNITY &amp; MISC ‎ ‎ ‎ ‎ </t>
  </si>
  <si>
    <t xml:space="preserve">        ↳ Episode 1: 'Til Death Do Us Part: Part 1</t>
  </si>
  <si>
    <r>
      <rPr>
        <rFont val="Roboto"/>
        <b/>
        <sz val="20.0"/>
      </rPr>
      <t>🗣️ r/MarvelAtlas</t>
    </r>
    <r>
      <rPr>
        <rFont val="Roboto"/>
        <sz val="15.0"/>
      </rPr>
      <t xml:space="preserve">
I've created </t>
    </r>
    <r>
      <rPr>
        <rFont val="Roboto"/>
        <b/>
        <sz val="15.0"/>
      </rPr>
      <t>r/MarvelAtlas</t>
    </r>
    <r>
      <rPr>
        <rFont val="Roboto"/>
        <sz val="15.0"/>
      </rPr>
      <t xml:space="preserve"> as the home for The Marvel Atlas community!
</t>
    </r>
    <r>
      <rPr>
        <rFont val="Roboto"/>
        <b/>
        <sz val="17.0"/>
      </rPr>
      <t xml:space="preserve">Link: </t>
    </r>
    <r>
      <rPr>
        <rFont val="Roboto"/>
        <b/>
        <color rgb="FF1155CC"/>
        <sz val="17.0"/>
        <u/>
      </rPr>
      <t>https://www.reddit.com/r/MarvelAtlas/</t>
    </r>
    <r>
      <rPr>
        <rFont val="Roboto"/>
        <sz val="15.0"/>
      </rPr>
      <t xml:space="preserve">
It's a hub for updates, asking any questions, discussions, feedback and suggestions, reporting bugs, and generally have a bit of fun with other Atlas users.
</t>
    </r>
    <r>
      <rPr>
        <rFont val="Roboto"/>
        <b/>
        <sz val="20.0"/>
      </rPr>
      <t>💡 Feedback &amp; Suggestions</t>
    </r>
    <r>
      <rPr>
        <rFont val="Roboto"/>
        <sz val="15.0"/>
      </rPr>
      <t xml:space="preserve">
If you have a suggestion, spot a bug, or just want to say thanks, feel free to leave a comment on the post you found the Atlas through, or drop by </t>
    </r>
    <r>
      <rPr>
        <rFont val="Roboto"/>
        <b/>
        <sz val="15.0"/>
      </rPr>
      <t>r/MarvelAtlas.</t>
    </r>
    <r>
      <rPr>
        <rFont val="Roboto"/>
        <sz val="15.0"/>
      </rPr>
      <t xml:space="preserve">
I genuinely appreciate all feedback - a lot of the imrprovements made, are because people took the time to point things out, suggest changes, or request new features.
</t>
    </r>
    <r>
      <rPr>
        <rFont val="Roboto"/>
        <b/>
        <sz val="20.0"/>
      </rPr>
      <t xml:space="preserve">📅 Unreleased Content
</t>
    </r>
    <r>
      <rPr>
        <rFont val="Roboto"/>
        <sz val="15.0"/>
      </rPr>
      <t>I include 2 bonus sections at the very bottom for Confirmed and Non-Confirmed content. Dates and details for unreleased content might not be accurate. I'll do my best to keep everything up to date as information becomes available.</t>
    </r>
  </si>
  <si>
    <t xml:space="preserve">        ↳ Episode 2: 'Til Death Do Us Part: Part 2</t>
  </si>
  <si>
    <t xml:space="preserve">        ↳ Episode 3: Whatever It Takes</t>
  </si>
  <si>
    <t xml:space="preserve">        ↳ Episode 4: Red Dawn</t>
  </si>
  <si>
    <t xml:space="preserve">        ↳ Episode 5: Repo Man</t>
  </si>
  <si>
    <t xml:space="preserve">        ↳ Episode 6: X-Ternally Yours</t>
  </si>
  <si>
    <t xml:space="preserve">💖 Support the Project ‎ ‎ ‎ ‎ </t>
  </si>
  <si>
    <t xml:space="preserve">        ↳ Episode 7: Time Fugitives: Part 1</t>
  </si>
  <si>
    <r>
      <rPr>
        <rFont val="Roboto"/>
        <sz val="15.0"/>
      </rPr>
      <t xml:space="preserve">If you've found my project helpful, just leaving a </t>
    </r>
    <r>
      <rPr>
        <rFont val="Roboto"/>
        <b/>
        <sz val="15.0"/>
      </rPr>
      <t>comment or bit of feedback</t>
    </r>
    <r>
      <rPr>
        <rFont val="Roboto"/>
        <sz val="15.0"/>
      </rPr>
      <t xml:space="preserve"> honestly makes my day. It means a lot knowing that people are actually using something I've spent so much time working on!
This is a solo project, so if you'd like to support me a little further, you can leave a tip if you'd like! It genuinely means a lot if you even consider it.
</t>
    </r>
    <r>
      <rPr>
        <rFont val="Roboto"/>
        <b/>
        <sz val="15.0"/>
      </rPr>
      <t>Thank you so much! &lt;3</t>
    </r>
    <r>
      <rPr>
        <rFont val="Roboto"/>
        <sz val="15.0"/>
      </rPr>
      <t xml:space="preserve">
</t>
    </r>
    <r>
      <rPr>
        <rFont val="Roboto"/>
        <b/>
        <sz val="15.0"/>
      </rPr>
      <t xml:space="preserve">This is my direct PayPal:
</t>
    </r>
    <r>
      <rPr>
        <rFont val="Roboto"/>
        <b/>
        <color rgb="FF1155CC"/>
        <sz val="15.0"/>
        <u/>
      </rPr>
      <t>paypal.com/paypalme/axelxyfer</t>
    </r>
  </si>
  <si>
    <t xml:space="preserve">        ↳ Episode 8: Time Fugitives: Part 2</t>
  </si>
  <si>
    <t xml:space="preserve">        ↳ Episode 9: A Rogue's Tale</t>
  </si>
  <si>
    <t xml:space="preserve">        ↳ Episode 10: Beauty and the Beast</t>
  </si>
  <si>
    <t xml:space="preserve">        ↳ Episode 11: MojoVision</t>
  </si>
  <si>
    <t xml:space="preserve">        ↳ Episode 12: Reunion: Part 1</t>
  </si>
  <si>
    <t xml:space="preserve">        ↳ Episode 13: Reunion: Part 2</t>
  </si>
  <si>
    <t xml:space="preserve">❓ FAQ ❓‎ ‎ ‎ </t>
  </si>
  <si>
    <t>⭕📺 X-Men: The Animated Series - S03 (Jul 1994)</t>
  </si>
  <si>
    <r>
      <rPr>
        <rFont val="Roboto"/>
        <b/>
        <i/>
        <color theme="1"/>
        <sz val="22.0"/>
      </rPr>
      <t xml:space="preserve">&lt;-(Expand the rows on the left to see answers) </t>
    </r>
    <r>
      <rPr>
        <rFont val="Roboto"/>
        <b/>
        <i val="0"/>
        <color theme="1"/>
        <sz val="22.0"/>
      </rPr>
      <t>(+)</t>
    </r>
  </si>
  <si>
    <t>6h 58m
(0h 22m ea)</t>
  </si>
  <si>
    <t xml:space="preserve">Total Completion: </t>
  </si>
  <si>
    <t>🌐 What is MCU+?</t>
  </si>
  <si>
    <r>
      <rPr>
        <rFont val="Roboto"/>
        <i/>
        <color theme="1"/>
        <sz val="15.0"/>
      </rPr>
      <t>(</t>
    </r>
    <r>
      <rPr>
        <rFont val="Roboto"/>
        <b/>
        <i/>
        <color theme="1"/>
        <sz val="15.0"/>
      </rPr>
      <t>MCU</t>
    </r>
    <r>
      <rPr>
        <rFont val="Roboto"/>
        <i/>
        <color theme="1"/>
        <sz val="15.0"/>
      </rPr>
      <t xml:space="preserve"> = Marvel Cinematic Universe).</t>
    </r>
    <r>
      <rPr>
        <rFont val="Roboto"/>
        <color theme="1"/>
        <sz val="15.0"/>
      </rPr>
      <t xml:space="preserve">
</t>
    </r>
    <r>
      <rPr>
        <rFont val="Roboto"/>
        <b/>
        <color theme="1"/>
        <sz val="15.0"/>
      </rPr>
      <t>MCU+</t>
    </r>
    <r>
      <rPr>
        <rFont val="Roboto"/>
        <color theme="1"/>
        <sz val="15.0"/>
      </rPr>
      <t xml:space="preserve"> is simply the name I use for the scope of the Atlas.
It focuses on the </t>
    </r>
    <r>
      <rPr>
        <rFont val="Roboto"/>
        <b/>
        <color theme="1"/>
        <sz val="15.0"/>
      </rPr>
      <t>MCU</t>
    </r>
    <r>
      <rPr>
        <rFont val="Roboto"/>
        <color theme="1"/>
        <sz val="15.0"/>
      </rPr>
      <t xml:space="preserve">, plus other Marvel </t>
    </r>
    <r>
      <rPr>
        <rFont val="Roboto"/>
        <b/>
        <color theme="1"/>
        <sz val="15.0"/>
      </rPr>
      <t>Universes/Continuities</t>
    </r>
    <r>
      <rPr>
        <rFont val="Roboto"/>
        <color theme="1"/>
        <sz val="15.0"/>
      </rPr>
      <t xml:space="preserve"> that are connected, adjacent, or historically relevant - along with their own relevant connections.
It isn't an official Marvel term, it's just my way of describing what </t>
    </r>
    <r>
      <rPr>
        <rFont val="Roboto"/>
        <b/>
        <color theme="1"/>
        <sz val="15.0"/>
      </rPr>
      <t>The Marvel Atlas</t>
    </r>
    <r>
      <rPr>
        <rFont val="Roboto"/>
        <color theme="1"/>
        <sz val="15.0"/>
      </rPr>
      <t xml:space="preserve"> covers.
</t>
    </r>
  </si>
  <si>
    <r>
      <rPr>
        <rFont val="Roboto"/>
        <b/>
        <color theme="1"/>
        <sz val="22.0"/>
      </rPr>
      <t xml:space="preserve">❓ Why Isn't </t>
    </r>
    <r>
      <rPr>
        <rFont val="Roboto"/>
        <b/>
        <i/>
        <color theme="1"/>
        <sz val="22.0"/>
      </rPr>
      <t>XYZ</t>
    </r>
    <r>
      <rPr>
        <rFont val="Roboto"/>
        <b/>
        <color theme="1"/>
        <sz val="22.0"/>
      </rPr>
      <t xml:space="preserve"> included?</t>
    </r>
  </si>
  <si>
    <r>
      <rPr>
        <rFont val="Roboto"/>
        <b/>
        <color theme="1"/>
        <sz val="20.0"/>
        <u/>
      </rPr>
      <t>✅ What is included?</t>
    </r>
    <r>
      <rPr>
        <rFont val="Roboto"/>
        <color theme="1"/>
        <sz val="15.0"/>
      </rPr>
      <t xml:space="preserve">
Anything that is </t>
    </r>
    <r>
      <rPr>
        <rFont val="Roboto"/>
        <b/>
        <color theme="1"/>
        <sz val="15.0"/>
      </rPr>
      <t>connected, adjacent, or historically relevant</t>
    </r>
    <r>
      <rPr>
        <rFont val="Roboto"/>
        <color theme="1"/>
        <sz val="15.0"/>
      </rPr>
      <t xml:space="preserve"> to the wider Marvel continuity landscape covered by the Atlas.
Not everything included is directly connected to everything else.
Some entries are included because they have meaningful connections, relationships, or historical significance to other Marvel continuities represented in the Atlas.
</t>
    </r>
    <r>
      <rPr>
        <rFont val="Roboto"/>
        <b/>
        <color theme="1"/>
        <sz val="20.0"/>
        <u/>
      </rPr>
      <t>❌ What I don't include</t>
    </r>
    <r>
      <rPr>
        <rFont val="Roboto"/>
        <color theme="1"/>
        <sz val="15.0"/>
      </rPr>
      <t xml:space="preserve">
Any </t>
    </r>
    <r>
      <rPr>
        <rFont val="Roboto"/>
        <b/>
        <color theme="1"/>
        <sz val="15.0"/>
      </rPr>
      <t>unreleased, cancelled, or effectively "forgotten" projects.</t>
    </r>
    <r>
      <rPr>
        <rFont val="Roboto"/>
        <color theme="1"/>
        <sz val="15.0"/>
      </rPr>
      <t xml:space="preserve">
This means projects that were never completed, never properly distributed, or were ultimately abandoned or ignored by Marvel itself. Even if something was technically released, if it has no meaningful connection, relevance, support, or follow-up, I generally treat it as a disconnected outlier rather than core Marvel content.
</t>
    </r>
    <r>
      <rPr>
        <rFont val="Roboto"/>
        <b/>
        <color theme="1"/>
        <sz val="15.0"/>
      </rPr>
      <t>Examples:</t>
    </r>
    <r>
      <rPr>
        <rFont val="Roboto"/>
        <color theme="1"/>
        <sz val="15.0"/>
      </rPr>
      <t xml:space="preserve"> </t>
    </r>
    <r>
      <rPr>
        <rFont val="Roboto"/>
        <i/>
        <color theme="1"/>
        <sz val="15.0"/>
      </rPr>
      <t>Fantastic Four (1994), Helstrom (2020), Nick Fury (1998), The Punisher (1989), Man-Thing (2005),</t>
    </r>
    <r>
      <rPr>
        <rFont val="Roboto"/>
        <color theme="1"/>
        <sz val="15.0"/>
      </rPr>
      <t xml:space="preserve"> etc.
If you feel strongly that something should be included or even left off, feel free to start a discussion on </t>
    </r>
    <r>
      <rPr>
        <rFont val="Roboto"/>
        <b/>
        <color theme="1"/>
        <sz val="15.0"/>
      </rPr>
      <t>r/MarvelAtlas.</t>
    </r>
  </si>
  <si>
    <t>⭐ What do the Symbols Mean?</t>
  </si>
  <si>
    <r>
      <rPr>
        <rFont val="Roboto"/>
        <color theme="1"/>
        <sz val="15.0"/>
      </rPr>
      <t xml:space="preserve">There is a key bottom right of most phases.
Used to quickly identify what type of content it is, or whether it has particular importance.
</t>
    </r>
    <r>
      <rPr>
        <rFont val="Roboto"/>
        <i/>
        <color theme="1"/>
        <sz val="15.0"/>
      </rPr>
      <t>*(Which for the record, is completely subjective!)
These are simply visual identifiers to make the Checklist easier to scan at a glance.</t>
    </r>
    <r>
      <rPr>
        <rFont val="Roboto"/>
        <color theme="1"/>
        <sz val="15.0"/>
      </rPr>
      <t xml:space="preserve">
</t>
    </r>
    <r>
      <rPr>
        <rFont val="Roboto"/>
        <b/>
        <color theme="1"/>
        <sz val="15.0"/>
      </rPr>
      <t>Key:</t>
    </r>
    <r>
      <rPr>
        <rFont val="Roboto"/>
        <color theme="1"/>
        <sz val="15.0"/>
      </rPr>
      <t xml:space="preserve">
⭐ Important / Major Impact
📺 TV Show / Series
🍿 MCU Movie / Special
🎬 Short Film / One-Shot
⭕ Other Universe / Non-MCU</t>
    </r>
  </si>
  <si>
    <t>🌠 How do you determine the UID's / Earth Numbers?</t>
  </si>
  <si>
    <r>
      <rPr>
        <rFont val="Roboto"/>
        <sz val="15.0"/>
      </rPr>
      <t xml:space="preserve">All of my </t>
    </r>
    <r>
      <rPr>
        <rFont val="Roboto"/>
        <b/>
        <sz val="15.0"/>
      </rPr>
      <t>Resources</t>
    </r>
    <r>
      <rPr>
        <rFont val="Roboto"/>
        <sz val="15.0"/>
      </rPr>
      <t xml:space="preserve"> for information are listed on the subreddit, </t>
    </r>
    <r>
      <rPr>
        <rFont val="Roboto"/>
        <b/>
        <sz val="15.0"/>
      </rPr>
      <t>r/MarvelAtlas.</t>
    </r>
    <r>
      <rPr>
        <rFont val="Roboto"/>
        <sz val="15.0"/>
      </rPr>
      <t xml:space="preserve">
When it comes to </t>
    </r>
    <r>
      <rPr>
        <rFont val="Roboto"/>
        <b/>
        <sz val="15.0"/>
      </rPr>
      <t>UIDs</t>
    </r>
    <r>
      <rPr>
        <rFont val="Roboto"/>
        <sz val="15.0"/>
      </rPr>
      <t xml:space="preserve"> in particular, I first check the </t>
    </r>
    <r>
      <rPr>
        <rFont val="Roboto"/>
        <b/>
        <sz val="15.0"/>
      </rPr>
      <t>Marvel Fan Wiki</t>
    </r>
    <r>
      <rPr>
        <rFont val="Roboto"/>
        <sz val="15.0"/>
      </rPr>
      <t xml:space="preserve"> to see how they have identified a Universe/Continuity, and then I try to research and verify that.
In a few instances, there is </t>
    </r>
    <r>
      <rPr>
        <rFont val="Roboto"/>
        <b/>
        <sz val="15.0"/>
      </rPr>
      <t>no officially confirmed Universe or clear indication of exactly when exactly something takes place.</t>
    </r>
    <r>
      <rPr>
        <rFont val="Roboto"/>
        <sz val="15.0"/>
      </rPr>
      <t xml:space="preserve"> This can be frustrating when trying to keep everything organised and complete...
Where there is no confirmed information, the Marvel Fan Wiki uses its own </t>
    </r>
    <r>
      <rPr>
        <rFont val="Roboto"/>
        <b/>
        <sz val="15.0"/>
      </rPr>
      <t>placeholder UIDs</t>
    </r>
    <r>
      <rPr>
        <rFont val="Roboto"/>
        <sz val="15.0"/>
      </rPr>
      <t xml:space="preserve"> until an official designation is established. In those cases, I use their placeholder designation rather than leaving the entry unidentified or empty.
</t>
    </r>
    <r>
      <rPr>
        <rFont val="Roboto"/>
        <b/>
        <sz val="15.0"/>
      </rPr>
      <t xml:space="preserve">Link to Marvel Fandom Wiki: </t>
    </r>
    <r>
      <rPr>
        <rFont val="Roboto"/>
        <b/>
        <color rgb="FF1155CC"/>
        <sz val="15.0"/>
        <u/>
      </rPr>
      <t>https://marvel.fandom.com/wiki/Marvel_Database</t>
    </r>
  </si>
  <si>
    <t>🛡️ Agents of S.H.I.E.L.D. Universe???</t>
  </si>
  <si>
    <r>
      <rPr>
        <rFont val="Arial"/>
        <b/>
        <color theme="1"/>
        <sz val="15.0"/>
      </rPr>
      <t>Agents of S.H.I.E.L.D.</t>
    </r>
    <r>
      <rPr>
        <rFont val="Arial"/>
        <color theme="1"/>
        <sz val="15.0"/>
      </rPr>
      <t xml:space="preserve"> is a complicated and messy case.
This remains a point of discussion and debate among many die-hard fans.
The series was originally intended to take place within the main MCU timeline, and its early seasons contain substantial direct connections to the MCU films. In particular, </t>
    </r>
    <r>
      <rPr>
        <rFont val="Arial"/>
        <b/>
        <i/>
        <color theme="1"/>
        <sz val="15.0"/>
      </rPr>
      <t>The Winter Soldier, Avengers: Age of Ultron,</t>
    </r>
    <r>
      <rPr>
        <rFont val="Arial"/>
        <color theme="1"/>
        <sz val="15.0"/>
      </rPr>
      <t xml:space="preserve"> and the </t>
    </r>
    <r>
      <rPr>
        <rFont val="Arial"/>
        <b/>
        <color theme="1"/>
        <sz val="15.0"/>
      </rPr>
      <t xml:space="preserve">Sokovia Accords </t>
    </r>
    <r>
      <rPr>
        <rFont val="Arial"/>
        <b/>
        <i/>
        <color theme="1"/>
        <sz val="15.0"/>
      </rPr>
      <t>(Captain America: Civil War),</t>
    </r>
    <r>
      <rPr>
        <rFont val="Arial"/>
        <color theme="1"/>
        <sz val="15.0"/>
      </rPr>
      <t xml:space="preserve"> are directly incorporated into the show's story.
Things become more complicated from </t>
    </r>
    <r>
      <rPr>
        <rFont val="Arial"/>
        <b/>
        <color theme="1"/>
        <sz val="15.0"/>
      </rPr>
      <t>Season 5</t>
    </r>
    <r>
      <rPr>
        <rFont val="Arial"/>
        <color theme="1"/>
        <sz val="15.0"/>
      </rPr>
      <t xml:space="preserve">, when the show's time-traveling storyline introduces an alternate future timeline. This reality is designated </t>
    </r>
    <r>
      <rPr>
        <rFont val="Arial"/>
        <b/>
        <color theme="1"/>
        <sz val="15.0"/>
      </rPr>
      <t>Earth-17516</t>
    </r>
    <r>
      <rPr>
        <rFont val="Arial"/>
        <color theme="1"/>
        <sz val="15.0"/>
      </rPr>
      <t xml:space="preserve">, and much of the first half of Season 5 takes place there.
However, the events of Season 5 ultimately alter the course of that future, and the main story returns to </t>
    </r>
    <r>
      <rPr>
        <rFont val="Arial"/>
        <b/>
        <color theme="1"/>
        <sz val="15.0"/>
      </rPr>
      <t>Earth-616.</t>
    </r>
    <r>
      <rPr>
        <rFont val="Arial"/>
        <color theme="1"/>
        <sz val="15.0"/>
      </rPr>
      <t xml:space="preserve">
From </t>
    </r>
    <r>
      <rPr>
        <rFont val="Arial"/>
        <b/>
        <color theme="1"/>
        <sz val="15.0"/>
      </rPr>
      <t>Season 6 onward</t>
    </r>
    <r>
      <rPr>
        <rFont val="Arial"/>
        <color theme="1"/>
        <sz val="15.0"/>
      </rPr>
      <t xml:space="preserve">, the show's continuity increasingly diverges from the events established by the MCU films. This becomes particularly apparent with its lack of alignment with the events surrounding </t>
    </r>
    <r>
      <rPr>
        <rFont val="Arial"/>
        <b/>
        <color theme="1"/>
        <sz val="15.0"/>
      </rPr>
      <t>Avengers: Endgame</t>
    </r>
    <r>
      <rPr>
        <rFont val="Arial"/>
        <color theme="1"/>
        <sz val="15.0"/>
      </rPr>
      <t xml:space="preserve"> and the </t>
    </r>
    <r>
      <rPr>
        <rFont val="Arial"/>
        <b/>
        <color theme="1"/>
        <sz val="15.0"/>
      </rPr>
      <t>Blip.</t>
    </r>
    <r>
      <rPr>
        <rFont val="Arial"/>
        <color theme="1"/>
        <sz val="15.0"/>
      </rPr>
      <t xml:space="preserve">
This doesn't necessarily mean the entire series is simply </t>
    </r>
    <r>
      <rPr>
        <rFont val="Arial"/>
        <i/>
        <color theme="1"/>
        <sz val="15.0"/>
      </rPr>
      <t>"non-canon"</t>
    </r>
    <r>
      <rPr>
        <rFont val="Arial"/>
        <color theme="1"/>
        <sz val="15.0"/>
      </rPr>
      <t xml:space="preserve">.
With what Marvel has since established about branching timelines and alternate realities, I think it's more accurate to treat AoS as a story that begins within the main MCU timeline, explores a divergent future, and later develops its own continuity.
</t>
    </r>
    <r>
      <rPr>
        <rFont val="Arial"/>
        <b/>
        <color theme="1"/>
        <sz val="20.0"/>
      </rPr>
      <t>🌠 How it is represented in the Atlas</t>
    </r>
    <r>
      <rPr>
        <rFont val="Arial"/>
        <color theme="1"/>
        <sz val="15.0"/>
      </rPr>
      <t xml:space="preserve">
</t>
    </r>
    <r>
      <rPr>
        <rFont val="Arial"/>
        <b/>
        <color theme="1"/>
        <sz val="15.0"/>
      </rPr>
      <t>Agents of S.H.I.E.L.D.: Seasons 1-4</t>
    </r>
    <r>
      <rPr>
        <rFont val="Arial"/>
        <color theme="1"/>
        <sz val="15.0"/>
      </rPr>
      <t xml:space="preserve"> =
MCU (AoS)
[Earth-616]
</t>
    </r>
    <r>
      <rPr>
        <rFont val="Arial"/>
        <b/>
        <color theme="1"/>
        <sz val="15.0"/>
      </rPr>
      <t>Agents of S.H.I.E.L.D.: Season 5</t>
    </r>
    <r>
      <rPr>
        <rFont val="Arial"/>
        <color theme="1"/>
        <sz val="15.0"/>
      </rPr>
      <t xml:space="preserve"> =
MCU (AoS) / MCU Earth destroyed (AoS)
[Earth-616] / [Earth-17516]
</t>
    </r>
    <r>
      <rPr>
        <rFont val="Arial"/>
        <b/>
        <color theme="1"/>
        <sz val="15.0"/>
      </rPr>
      <t>Agents of S.H.I.E.L.D.: Season 6</t>
    </r>
    <r>
      <rPr>
        <rFont val="Arial"/>
        <color theme="1"/>
        <sz val="15.0"/>
      </rPr>
      <t xml:space="preserve"> =
MCU (AoS)
[Earth-616]
</t>
    </r>
    <r>
      <rPr>
        <rFont val="Arial"/>
        <b/>
        <color theme="1"/>
        <sz val="15.0"/>
      </rPr>
      <t xml:space="preserve">Agents of S.H.I.E.L.D.: Season 7 </t>
    </r>
    <r>
      <rPr>
        <rFont val="Arial"/>
        <color theme="1"/>
        <sz val="15.0"/>
      </rPr>
      <t xml:space="preserve">=
Branch (AoS) / MCU (AoS)
[Earth-19859] / [Earth 616] (AoS)
</t>
    </r>
    <r>
      <rPr>
        <rFont val="Arial"/>
        <b/>
        <i/>
        <color theme="1"/>
        <sz val="15.0"/>
      </rPr>
      <t xml:space="preserve">What does Branch mean exactly?
</t>
    </r>
    <r>
      <rPr>
        <rFont val="Arial"/>
        <color theme="1"/>
        <sz val="15.0"/>
      </rPr>
      <t xml:space="preserve">It's a branched alternate past created by the Chronicoms.
The timelines later converge again, with the future continuing from the altered timeline.
The exact designation of the later </t>
    </r>
    <r>
      <rPr>
        <rFont val="Arial"/>
        <b/>
        <color theme="1"/>
        <sz val="15.0"/>
      </rPr>
      <t>AoS continuity</t>
    </r>
    <r>
      <rPr>
        <rFont val="Arial"/>
        <color theme="1"/>
        <sz val="15.0"/>
      </rPr>
      <t xml:space="preserve"> has never been officially established. The Atlas therefore uses the available Universe Identifiers where they are documented, while avoiding assigning an arbitrary Earth number where none has been officially established.
This is ultimately a </t>
    </r>
    <r>
      <rPr>
        <rFont val="Arial"/>
        <b/>
        <color theme="1"/>
        <sz val="15.0"/>
      </rPr>
      <t>best-fit interpretation based on the available evidence</t>
    </r>
    <r>
      <rPr>
        <rFont val="Arial"/>
        <color theme="1"/>
        <sz val="15.0"/>
      </rPr>
      <t xml:space="preserve">, rather than a definitive statement from Marvel about the show's current canon status.
Sources are linked in </t>
    </r>
    <r>
      <rPr>
        <rFont val="Arial"/>
        <b/>
        <color theme="1"/>
        <sz val="15.0"/>
      </rPr>
      <t>r/MarvelAtlas.
You may also want to see "🌠 How do you determine the UID's / Earth Numbers?" for a quicker link to the Marvel Fandom Wiki.</t>
    </r>
  </si>
  <si>
    <t xml:space="preserve">⚖️ LEGAL DISCLAIMERS ‎ ‎ ‎ ‎ </t>
  </si>
  <si>
    <t xml:space="preserve">This is an unofficial, fan-made community project.
This Project is not affiliated with, endorsed by, sponsored by, or associated with Marvel, Marvel Studios, Disney, or any related rights holders. All trademarks, media, characters, titles, and intellectual property remain the property of their respective owners.
</t>
  </si>
  <si>
    <t xml:space="preserve">📢 UPDATE INFO ‎ ‎ ‎ ‎ </t>
  </si>
  <si>
    <r>
      <rPr>
        <rFont val="Roboto"/>
        <color theme="1"/>
        <sz val="15.0"/>
      </rPr>
      <t xml:space="preserve">• I’ll do my best to keep the Atlas up-to-date as new content releases, usually once I’ve seen it myself. But please remember, this is a solo project, so updates can take a little time. Please be patient with me! ^-^'
• </t>
    </r>
    <r>
      <rPr>
        <rFont val="Roboto"/>
        <b/>
        <color theme="1"/>
        <sz val="15.0"/>
      </rPr>
      <t xml:space="preserve">Your copy won’t update automatically.
</t>
    </r>
    <r>
      <rPr>
        <rFont val="Roboto"/>
        <color theme="1"/>
        <sz val="15.0"/>
      </rPr>
      <t xml:space="preserve">To get the latest version, you’ll need to import your progress to a fresh copy using the </t>
    </r>
    <r>
      <rPr>
        <rFont val="Roboto"/>
        <b/>
        <color theme="1"/>
        <sz val="15.0"/>
      </rPr>
      <t>Atlas Tools</t>
    </r>
    <r>
      <rPr>
        <rFont val="Roboto"/>
        <color theme="1"/>
        <sz val="15.0"/>
      </rPr>
      <t xml:space="preserve">.
</t>
    </r>
    <r>
      <rPr>
        <rFont val="Roboto"/>
        <i/>
        <color theme="1"/>
        <sz val="15.0"/>
      </rPr>
      <t xml:space="preserve">(Heavily modified copies may not import progress correctly).
</t>
    </r>
    <r>
      <rPr>
        <rFont val="Roboto"/>
        <color theme="1"/>
        <sz val="15.0"/>
      </rPr>
      <t xml:space="preserve">
• The </t>
    </r>
    <r>
      <rPr>
        <rFont val="Roboto"/>
        <b/>
        <color theme="1"/>
        <sz val="15.0"/>
      </rPr>
      <t>current version number</t>
    </r>
    <r>
      <rPr>
        <rFont val="Roboto"/>
        <color theme="1"/>
        <sz val="15.0"/>
      </rPr>
      <t xml:space="preserve"> is shown in the file name and the </t>
    </r>
    <r>
      <rPr>
        <rFont val="Roboto"/>
        <b/>
        <color theme="1"/>
        <sz val="15.0"/>
      </rPr>
      <t xml:space="preserve">Update Log </t>
    </r>
    <r>
      <rPr>
        <rFont val="Roboto"/>
        <color theme="1"/>
        <sz val="15.0"/>
      </rPr>
      <t xml:space="preserve">below.
• Google Sheets does </t>
    </r>
    <r>
      <rPr>
        <rFont val="Roboto"/>
        <b/>
        <color theme="1"/>
        <sz val="15.0"/>
      </rPr>
      <t>not notify users when the template is updated.</t>
    </r>
    <r>
      <rPr>
        <rFont val="Roboto"/>
        <color theme="1"/>
        <sz val="15.0"/>
      </rPr>
      <t xml:space="preserve">
If you want to keep up with new versions and updates, </t>
    </r>
    <r>
      <rPr>
        <rFont val="Roboto"/>
        <b/>
        <color theme="1"/>
        <sz val="15.0"/>
      </rPr>
      <t>r/MarvelAtlas</t>
    </r>
    <r>
      <rPr>
        <rFont val="Roboto"/>
        <color theme="1"/>
        <sz val="15.0"/>
      </rPr>
      <t xml:space="preserve"> is the best place to do so! I post updates there whenever the Atlas is updated / worked on.
</t>
    </r>
  </si>
  <si>
    <t xml:space="preserve">📝 UPDATE LOG – v6.35 ‎ ‎ ‎ ‎ </t>
  </si>
  <si>
    <r>
      <rPr>
        <rFont val="Roboto"/>
        <b/>
        <color theme="1"/>
        <sz val="15.0"/>
      </rPr>
      <t xml:space="preserve">Manual checkmarks required: v6.32 and below
[Double click and scroll to read updates.]
◤v6.35 | 02/9/26
  ↪ 🧩 </t>
    </r>
    <r>
      <rPr>
        <rFont val="Roboto"/>
        <color theme="1"/>
        <sz val="15.0"/>
      </rPr>
      <t xml:space="preserve">Added a new Atlas Tool and onEdit pop up for donations. This can easily be "Never show again'd" if it was to be annoying!
</t>
    </r>
    <r>
      <rPr>
        <rFont val="Roboto"/>
        <b/>
        <color theme="1"/>
        <sz val="15.0"/>
      </rPr>
      <t xml:space="preserve">  ↪ ✍️ </t>
    </r>
    <r>
      <rPr>
        <rFont val="Roboto"/>
        <color theme="1"/>
        <sz val="15.0"/>
      </rPr>
      <t>Minor text edits and cleanups here and there.</t>
    </r>
    <r>
      <rPr>
        <rFont val="Roboto"/>
        <b/>
        <color theme="1"/>
        <sz val="15.0"/>
      </rPr>
      <t xml:space="preserve">
◤v6.34 | 18/08/26
  ↪ ✍️ </t>
    </r>
    <r>
      <rPr>
        <rFont val="Roboto"/>
        <color theme="1"/>
        <sz val="15.0"/>
      </rPr>
      <t>Corrected AfterCredits for Falcon Winter Soldier and what if season 1</t>
    </r>
    <r>
      <rPr>
        <rFont val="Roboto"/>
        <b/>
        <color theme="1"/>
        <sz val="15.0"/>
      </rPr>
      <t xml:space="preserve">
  ↪ ✍️ </t>
    </r>
    <r>
      <rPr>
        <rFont val="Roboto"/>
        <color theme="1"/>
        <sz val="15.0"/>
      </rPr>
      <t>Renamed Phase Titles</t>
    </r>
    <r>
      <rPr>
        <rFont val="Roboto"/>
        <b/>
        <color theme="1"/>
        <sz val="15.0"/>
      </rPr>
      <t xml:space="preserve">
  ↪ ✍️ </t>
    </r>
    <r>
      <rPr>
        <rFont val="Roboto"/>
        <color theme="1"/>
        <sz val="15.0"/>
      </rPr>
      <t xml:space="preserve">Jessica Jones S01 titles corrected
</t>
    </r>
    <r>
      <rPr>
        <rFont val="Roboto"/>
        <b/>
        <color theme="1"/>
        <sz val="15.0"/>
      </rPr>
      <t xml:space="preserve">  ↪ ✍️ </t>
    </r>
    <r>
      <rPr>
        <rFont val="Roboto"/>
        <color theme="1"/>
        <sz val="15.0"/>
      </rPr>
      <t>Notes edited, some links fixed, some notes cleaned up. Removed Deleted footage notes.</t>
    </r>
    <r>
      <rPr>
        <rFont val="Roboto"/>
        <b/>
        <color theme="1"/>
        <sz val="15.0"/>
      </rPr>
      <t xml:space="preserve">
◤v6.33 | MAJOR Modernisation Update! | 13/08/26</t>
    </r>
    <r>
      <rPr>
        <rFont val="Roboto"/>
        <color theme="1"/>
        <sz val="15.0"/>
      </rPr>
      <t xml:space="preserve">
</t>
    </r>
    <r>
      <rPr>
        <rFont val="Roboto"/>
        <b/>
        <color theme="1"/>
        <sz val="15.0"/>
      </rPr>
      <t xml:space="preserve">  ↪ 🆕</t>
    </r>
    <r>
      <rPr>
        <rFont val="Roboto"/>
        <color theme="1"/>
        <sz val="15.0"/>
      </rPr>
      <t xml:space="preserve"> Overall Structure has changed</t>
    </r>
    <r>
      <rPr>
        <rFont val="Roboto"/>
        <b/>
        <color theme="1"/>
        <sz val="15.0"/>
      </rPr>
      <t xml:space="preserve">
  ↪ 🆕 </t>
    </r>
    <r>
      <rPr>
        <rFont val="Roboto"/>
        <color theme="1"/>
        <sz val="15.0"/>
      </rPr>
      <t xml:space="preserve">Overall look and feel is new and fresh
</t>
    </r>
    <r>
      <rPr>
        <rFont val="Roboto"/>
        <b/>
        <color theme="1"/>
        <sz val="15.0"/>
      </rPr>
      <t xml:space="preserve">  ↪ ‼️ ((UPDATING YOUR LIST)) For importing your previous data, you will have to manually port over anything before v6.33.
◤v6.32 | 12/08/26
  ↪ ✔️ </t>
    </r>
    <r>
      <rPr>
        <rFont val="Roboto"/>
        <color theme="1"/>
        <sz val="15.0"/>
      </rPr>
      <t>Details confirmed for all of X-Men '97 S02.</t>
    </r>
    <r>
      <rPr>
        <rFont val="Roboto"/>
        <b/>
        <color theme="1"/>
        <sz val="15.0"/>
      </rPr>
      <t xml:space="preserve">
◤v6.31 | 08/08/26
</t>
    </r>
    <r>
      <rPr>
        <rFont val="Roboto"/>
        <color theme="1"/>
        <sz val="15.0"/>
      </rPr>
      <t xml:space="preserve">  ↪ 👋 Updated and expanded Welcome Sheet.
  ↪ ❓ New FAQ section!
  ↪ ✍️ Updated Agents of S.H.I.E.L.D. timeline and Universe Identifiers.
  ↪ ✍️ Updated some UIDs and notes.
  ↪ ☝️ General corrections, clarifications, and improvements.
</t>
    </r>
    <r>
      <rPr>
        <rFont val="Roboto"/>
        <b/>
        <color theme="1"/>
        <sz val="15.0"/>
      </rPr>
      <t>◤v6.30 | STRUCTURE UPDATE | 07/08/26</t>
    </r>
    <r>
      <rPr>
        <rFont val="Roboto"/>
        <color theme="1"/>
        <sz val="15.0"/>
      </rPr>
      <t xml:space="preserve">
  ↪ 🛠️ Corrected all of MAUTAS manually and adjusted the code to match.
  ↪ ‼️ ((UPDATING YOUR LIST)) For importing your previous data, you will have to manually port over anything before v6.30.
</t>
    </r>
    <r>
      <rPr>
        <rFont val="Roboto"/>
        <b/>
        <color theme="1"/>
        <sz val="15.0"/>
      </rPr>
      <t xml:space="preserve">◤v6.29 | 03/08/26 </t>
    </r>
    <r>
      <rPr>
        <rFont val="Roboto"/>
        <color theme="1"/>
        <sz val="15.0"/>
      </rPr>
      <t xml:space="preserve">
  ↪ ✔️ Details confirmed for Spider-Man Brand New day and X-Men '97 s02 eps 3-7.
  ↪ ✍️ Updated confirmed and non-confirmed projects.
</t>
    </r>
    <r>
      <rPr>
        <rFont val="Roboto"/>
        <b/>
        <color theme="1"/>
        <sz val="15.0"/>
      </rPr>
      <t>◤v6.28 | MAJOR UPDATE | 13/07/26</t>
    </r>
    <r>
      <rPr>
        <rFont val="Roboto"/>
        <color theme="1"/>
        <sz val="15.0"/>
      </rPr>
      <t xml:space="preserve">
  ↪ 🆕New! Welcome sheet to help keep the Atlas checklist clean and easy to use without needing to run scripts.
(Yes, the welcome sheet can be safely deleted if you don't care for it).
  ↪ 🗑️ Deleted the "Tidy Sheet" Tool, it's now useless. c:
  ↪ ➕ Added the following Cartoons:
              - X-Men TAS S01-05
              - Spider-Man TAS S01-04
              - Iron Man TAS S01-02
              - Fantastic Four TAS S01-02
              - The Incredible Hulk TAS S01-02
              - Silver Surfer TAS S01
              - Spider-man Unlimited S01
              - The Avengers: UTS S01
 ↪ ➕ Preemptively added the following, details will be added as they are released:
              - X-Men '97 S02
              - Spider-Man Brand New Day
              - Rerelease Avengers Endgame
              - YFNSM S2
              - VisionQuest S1
              - Avengers Doomsday Pre-release Stories
              - Doomsday Placeholder
  ↪ 🧩 Adjusted code to accomadate, let me know if you spot any bugs please. 
  ↪ ‼️ ((UPDATING YOUR LIST)) For importing your previous data, you will have to manually port over anything before v6.28. Sorry about that.
  ↪ 🧼Tidied and cleaned some things, made some things read better, general improvements.
  ↪ ✍️ Made all the dates of release uniform. (mmm yyyy)
  ↪ ‼️ Realised X-Men Origins: Wolverine was slotted wrong! Apologies!
</t>
    </r>
    <r>
      <rPr>
        <rFont val="Roboto"/>
        <b/>
        <color theme="1"/>
        <sz val="15.0"/>
      </rPr>
      <t>◤v6.27 | MAJOR UPDATE | 28/06/26</t>
    </r>
    <r>
      <rPr>
        <rFont val="Roboto"/>
        <color theme="1"/>
        <sz val="15.0"/>
      </rPr>
      <t xml:space="preserve">
  ↪ ⏱️ NEW! Runtime column to show the runtimes for everything! (Yes, this took a long time to gather and put in LMAO).
  ↪ 🧩 Adjusted code to accomadate, let me know if you spot any bugs please. 
  ↪ ‼️ ((UPDATING YOUR LIST)) For importing your previous data, you MIGHT have to manually port over anything before v6.27. Sorry about that.
</t>
    </r>
    <r>
      <rPr>
        <rFont val="Roboto"/>
        <b/>
        <color theme="1"/>
        <sz val="15.0"/>
      </rPr>
      <t xml:space="preserve">◤v6.26 | 27/06/26 </t>
    </r>
    <r>
      <rPr>
        <rFont val="Roboto"/>
        <color theme="1"/>
        <sz val="15.0"/>
      </rPr>
      <t xml:space="preserve">
  ↪ ✍️ Some title corrections and spelling errors/caps tidied up.
           (Edited series titles:
              - Agents of S.H.I.E.L.D. S3
              - Agents of S.H.I.E.L.D. S4
              - Agent Carter S2
              - Secret Invasion
              - Marvel Zombies )
</t>
    </r>
    <r>
      <rPr>
        <rFont val="Roboto"/>
        <b/>
        <color theme="1"/>
        <sz val="15.0"/>
      </rPr>
      <t xml:space="preserve">◤v6.25 | 13/05/26 </t>
    </r>
    <r>
      <rPr>
        <rFont val="Roboto"/>
        <color theme="1"/>
        <sz val="15.0"/>
      </rPr>
      <t xml:space="preserve">
  ↪ ➕ Added The Punisher: One Last Kill.
  ↪ ➕ Added After Creds info for Daredevil Born Again S2.
</t>
    </r>
    <r>
      <rPr>
        <rFont val="Roboto"/>
        <b/>
        <color theme="1"/>
        <sz val="15.0"/>
      </rPr>
      <t xml:space="preserve">◤v6.24 | 10/05/26 </t>
    </r>
    <r>
      <rPr>
        <rFont val="Roboto"/>
        <color theme="1"/>
        <sz val="15.0"/>
      </rPr>
      <t xml:space="preserve">
  ↪ 🏷️ New Title to go with our new Subreddit! r/MarvelAtlas!
(wordings adjusted to match)
  ↪ 🗣️ r/MarvelAtlas created! Little section to shout it out added at the top.
</t>
    </r>
    <r>
      <rPr>
        <rFont val="Roboto"/>
        <b/>
        <color theme="1"/>
        <sz val="15.0"/>
      </rPr>
      <t>◤v6.23 | MAJOR Structure | 10/05/26</t>
    </r>
    <r>
      <rPr>
        <rFont val="Roboto"/>
        <color theme="1"/>
        <sz val="15.0"/>
      </rPr>
      <t xml:space="preserve">
  ↪ ✍️ I noticed even more series' had the wrong episode titles or amount, all have been corrected... Unfortunately this means updates from any previous version may not work correctly. I am so sorry... Goes to show AI won't be taking over any time soon lmao.
              - Daredevil S2
              - AOS Slingshot
              - Legion S1
              - Defenders S1
  ↪ ‼️ ((UPDATING YOUR LIST)) For importing your previous data, you will need to manually port over from anything before 6.23. :/
</t>
    </r>
    <r>
      <rPr>
        <rFont val="Roboto"/>
        <b/>
        <color theme="1"/>
        <sz val="15.0"/>
      </rPr>
      <t>◤v6.22 | 01/04/26</t>
    </r>
    <r>
      <rPr>
        <rFont val="Roboto"/>
        <color theme="1"/>
        <sz val="15.0"/>
      </rPr>
      <t xml:space="preserve">
  ↪ ➕ Daredevil BA S2 added.
</t>
    </r>
    <r>
      <rPr>
        <rFont val="Roboto"/>
        <b/>
        <color theme="1"/>
        <sz val="15.0"/>
      </rPr>
      <t>◤v6.21 | 19/03/26</t>
    </r>
    <r>
      <rPr>
        <rFont val="Roboto"/>
        <color theme="1"/>
        <sz val="15.0"/>
      </rPr>
      <t xml:space="preserve">
  ↪ ✍️ Date corrections and notes.
</t>
    </r>
    <r>
      <rPr>
        <rFont val="Roboto"/>
        <b/>
        <color theme="1"/>
        <sz val="15.0"/>
      </rPr>
      <t>◤v6.20 | 02/02/26</t>
    </r>
    <r>
      <rPr>
        <rFont val="Roboto"/>
        <color theme="1"/>
        <sz val="15.0"/>
      </rPr>
      <t xml:space="preserve">
  ↪ ➕ Wonder Man S01 added.
  ↪ 🔗 Added links for hard to find content that is referenced.
</t>
    </r>
    <r>
      <rPr>
        <rFont val="Roboto"/>
        <b/>
        <color theme="1"/>
        <sz val="15.0"/>
      </rPr>
      <t>◤v6.19 | 09/01/26</t>
    </r>
    <r>
      <rPr>
        <rFont val="Roboto"/>
        <color theme="1"/>
        <sz val="15.0"/>
      </rPr>
      <t xml:space="preserve">
  ↪ ✍️ Rewritten Welcome and Notes sections for clarity and consistency.
  ↪ 📘 Improved Update Info, version explanation, and compatibility warnings.
  ↪ 🧼 General text cleanup and readability improvements.
  ↪ ➕ Added new confirmed content to Upcoming Projects.
</t>
    </r>
    <r>
      <rPr>
        <rFont val="Roboto"/>
        <b/>
        <color theme="1"/>
        <sz val="15.0"/>
      </rPr>
      <t>◤v6.18 | 30/12/25</t>
    </r>
    <r>
      <rPr>
        <rFont val="Roboto"/>
        <color theme="1"/>
        <sz val="15.0"/>
      </rPr>
      <t xml:space="preserve">
  ↪ 🐛 More Apps Script bugs… 
Ticking off individual Episodes should now work as intended.
  ↪ 🎨 Colour Pallets are now applied manually via a new button in Checklist Tools. Better for performance, and only runs when you want it to! :D
</t>
    </r>
    <r>
      <rPr>
        <rFont val="Roboto"/>
        <b/>
        <color theme="1"/>
        <sz val="15.0"/>
      </rPr>
      <t>◤v6.17 | 06/11/25</t>
    </r>
    <r>
      <rPr>
        <rFont val="Roboto"/>
        <color theme="1"/>
        <sz val="15.0"/>
      </rPr>
      <t xml:space="preserve">
  ↪ 🐛 Had to rewrite code for checkboxes relating to series, it was all bugged out and I didn't realise... (Thank you for pointing that out! :D)
New code is actually faster and should be easier to run!
</t>
    </r>
    <r>
      <rPr>
        <rFont val="Roboto"/>
        <b/>
        <color theme="1"/>
        <sz val="15.0"/>
      </rPr>
      <t>◤v6.16 | MAJOR Structure | 04/11/25</t>
    </r>
    <r>
      <rPr>
        <rFont val="Roboto"/>
        <color theme="1"/>
        <sz val="15.0"/>
      </rPr>
      <t xml:space="preserve">
  ↪ ✍️ Turns out the following had the wrong episode titles or amount, all have been corrected... Unfortunately this means updates from any previous version may not work correctly. Sorry about that :/
              - Punisher s2  
              - Agents of Shield s6  
              - Jessica Jones s3
              - Legion s3
              - Agents of Shield s7
◤v6.15 | 31/10/25
  ↪ ➕ Added new confirmed content to Upcoming Projects as requested from Reddit.
  ↪ 🗂️ Seperated out Upcoming Projects to confirmed and unconfirmed for clarity on things that have dates and things that are still in the air.
  ↪ 💬 I've had dms seeking more detailed help with adding new content and editing your own lists, so I made the instructions clearer.
  ↪ ⚠️ Added a warning for accidental edits outside of checkboxes / notes.
◤v6.14  
  ↪ 🧩 Reworked code and fixed some issues.  
  ↪ 🐛 Squashed annoying bugs.  
  ↪ 📜 Improved drop down UI (Checklist Tools).  
  ↪ ✍️ Edited text parts to match what actually happens!  
  ↪ ✍️ Changed order of Update Log to show most recent updates first.
◤v6.13  
  ↪ 🧩 Turns out I didn't need the "enable tools" button at all because I had coded the UI to be created when you first open the spreadsheet... -Audible Sigh- tldr, i'm dumb. :)  
  ↪ 👩‍🏫 Detailed the instructions more clearly for anyone who want to add new content into their copy; this also explains more detail about the code.  
◤v6.12  
  ↪ 🐛 Fixed a bug to do with the Reset Progress button.  
  ↪ 🧼 General Clean and Tidy, rearanged a little.  
◤v6.11 (Import button -&gt; Custom UI)  
  ↪ 🆕 Created new “CheckList Tools” UI menu for even easier updating and general tools.  
              - Import Progress (Checks ONLY)  
              - Import Progress &amp; Notes  
              - Erase All Notes  
              - Reset All Progress  
              - Delete J–M  
  ↪ 😓 Spent a long time trying to have the button delete when you delete J-M and it won't work. Button needs to be deleted manually by the user unfortunately.  
  ↪ ✍️ New Notes sections to explain how the new UI and updating works.  
  ↪ ✍️ All Notes boxes edited so nothing old is mentioned and everything makes sense.  
  ↪ 🧼 General cleanup and adjustments for readability.  
◤v6.10  
  ↪ ✍️ People are debating too much regarding the AoS Universe numbers!  
I changed it to say "Unamed AoS Universe". If it bothers you too much, change it on your copy.  
◤v6.9 (Anticipated IMPORT button!!)  
  ↪ 🧩 Finally figured out a simple user friendly way to "update" your own unique sheets using Apps Script!! Massive thanks to some helpful folk on Reddit!  
◤v6.8  
  ↪ ✍️ Fixed a mistake "X-Men Origins: Wolverine" was listed twice, the second was meant to be "The Wolverine 2013"  
◤v6.7  
  ↪ ✍️ Edited some text, added a note.  
◤v6.6  
  ↪ ➕ Added Marvel Zombies S1.  
  ↪ ✍️ Added all Universe Identifiers (Eg: Earth 616).  
◤v6.5  
  ↪ ✍️ Updated Donation Link.  
◤v6.4  
  ↪ ✍️ Corrected Episode titles for various Series'.  
◤v6.3  
  ↪ ➕ Added Eye's of Wakanda.  
◤v6.2  
  ↪ ❓  Added "Why isn't XYZ" section.  
◤v6.1  
  ↪ 🧩 Fixed code and formulas to adjust for missing content.  
◤v6.0 (Anticpated Content Update)  
  ↪ ➕ Added Fantastic Four: FS.  
  ↪ ➕Added the missing Segments: (Thank you for pointing these out!!)  
               - Iron Fist S2.  
               - Jessica Jones S2.  
               - Daredevil S3.  
               - Blade Series.  
               - Deadpool and Korg React Short.  
               - Spider-Ham Short.  
               - The Spider Within Short.  
◤v5.8  
  ↪ 🧩 Improved the formulas and functionality of Trackers.  
  ↪ 🧩 Finalised Apps Script code utilizing hidden column G.  
  ↪ ✍️ Edited Notes and Welcome message.  
  ↪ ✍️ Updated Studio/Universe tags for consistency (Fox, MCU, Sony, etc).  
  ↪ 🧩 Adjust row size (Optimized for mobile use).  
◤v5.7  
  ↪ 🧩 Rewrote formula for Skipped Trackers, now counts seasons/series as 1 item per segment instead of per episode.  
  ↪ 🔄 Converted After Credits column into plain text, the data validation with chips was being buggy and frustrating...  
  ↪ 🧩 Polished the code in Apps Script and was able to make things run smoother and easier to understand for editing purposes.  
  ↪ 🎨 Pivoted theming from code to a 2nd sheet where the user can edit colours MUCH easier.  
  ↪ ✅ Made the Checkboxes MUCH bigger- I realised the text size is the checkbox size... 🤦  
◤v5.6  
  ↪ 🎨 Reworked the alternating colours / themes into Apps Script, (not by choice lol), due to the episode groups messing up the simple alternate colours fuction... 😵  
[Note: if you edit your colours you may need to edit the colours in the script and *not* in the sheet itself.]  
◤v5.5  
  ↪ 🐛 Squashed a few invisible bugs that were hard to get rid of...  
  ↪ 🧼 Rearranged the entire Sheet and gave everything a good clean and tidy.  
◤v5.4  
  ↪ ➕ Added new "UPCOMING PROJECTS" section at the very bottom, as some things have been cancelled or changed into a Series, etc.  
◤v5.3  
  ↪ ➕ Added Fantastic Four: First Steps (will confirm details once it's out shortly).  
◤v5.2  
  ↪ ➕ Added IronHeart S01.  
◤v5.1  
  ↪ ✍️ Edited Notes Section for the Sheets Doc.  
◤v5.0 (Anticipated Episodes Trackers)  
  ↪ 🧩 Added all individual expandable Episode breakdowns for each Series. (Had a couple comments asking, and I listened!).
  ↪ 🧼 Minor fixes to alignment/formatting for series grouping consistency.  
  ↪ 📝 Update Log will now show every change, as requested on Reddit.  
◤v4  
  ↪ ✍️ Corrected After Credit for Daredevil 2003.  
◤v3 (Progress Trackers)  
  ↪ 📊 Added Progress Trackers as suggested from a User on Reddit. (This took me a while, a lot of learning lol).  
◤v2 (Anticipated AoS Update)  
   ↪ ➕ Added Agents of S.H.I.E.L.D. entries (slotted in release order).  
   ↪ ➕ Re-added missing Guardians of the Galaxy Vol. 2 (oops!).  
   ↪ ➕ Introduced “Phase X – Animated Multiverse” section.  
   ↪ ➕ Added new “Skipped ⏩” column + conditional formatting.  
   ↪ ➕ Added AoS Slingshot Series, Deadpool and Spider-Man Short Films.  
   ↪ ✍️ After credits corrections and added notes for some things.  
   ↪ ➕ Added 2003 Hulk stand-alone movie.  
   ↪ ➕ Added 1986 Howard the Duck movie.  
   ↪ ✍️ After Credits corrected for a couple movies.  
◤v1 (First post to Social Medias)  
   ↪ ➕ Added all 90s TAS (The Animated Series) entries.  
   ↪ ➕ Added Punisher movies to Phase 0.  
   ↪ 🎨 Updated theme colours for improved readability.  
   ↪ ✍️ Fixed punctuation corrections (e.g., X-Men, Spider-Man, etc.).  
   ↪ 🧼 Made general minor adjustments &amp; formatting cleanups.  </t>
    </r>
  </si>
  <si>
    <t xml:space="preserve">        ↳ Episode 1: Out of the Past: Part 1</t>
  </si>
  <si>
    <t xml:space="preserve">        ↳ Episode 2: Out of the Past: Part 2</t>
  </si>
  <si>
    <t xml:space="preserve">        ↳ Episode 3: Phoenix Saga: Part 1 - Sacrifice</t>
  </si>
  <si>
    <t xml:space="preserve">        ↳ Episode 4: Phoenix Saga: Part 2 - The Dark Shroud</t>
  </si>
  <si>
    <t xml:space="preserve">        ↳ Episode 5: Phoenix Saga: Part 3 - The Cry of the Banshee</t>
  </si>
  <si>
    <t xml:space="preserve">        ↳ Episode 6: Phoenix Saga: Part 4 - The Starjammers</t>
  </si>
  <si>
    <t xml:space="preserve">        ↳ Episode 7: Phoenix Saga: Part 5 - Child of Light</t>
  </si>
  <si>
    <t xml:space="preserve">        ↳ Episode 8 Savage Land, Savage Heart: Part 1</t>
  </si>
  <si>
    <t xml:space="preserve">        ↳ Episode 9 Savage Land, Savage Heart: Part 2</t>
  </si>
  <si>
    <t xml:space="preserve">        ↳ Episode 10: Obsession</t>
  </si>
  <si>
    <t xml:space="preserve">        ↳ Episode 11: Dark Phoenix: Part 1 - Dazzler</t>
  </si>
  <si>
    <t xml:space="preserve">        ↳ Episode 12: Dark Phoenix: Part 2 - Inner Circle</t>
  </si>
  <si>
    <t xml:space="preserve">        ↳ Episode 13: Dark Phoenix: Part 3 - The Dark Phoenix</t>
  </si>
  <si>
    <t xml:space="preserve">        ↳ Episode 14: Dark Phoenix: Part 4 - The Fate of the Phoenix</t>
  </si>
  <si>
    <t xml:space="preserve">        ↳ Episode 15: Cold Comfort</t>
  </si>
  <si>
    <t xml:space="preserve">        ↳ Episode 16: Orphan's End</t>
  </si>
  <si>
    <t xml:space="preserve">        ↳ Episode 17: The Juggernaut Returns</t>
  </si>
  <si>
    <t xml:space="preserve">        ↳ Episode 18: Nightcrawler</t>
  </si>
  <si>
    <t xml:space="preserve">        ↳ Episode 19: Weapon X, Lies, and Videotape</t>
  </si>
  <si>
    <t>⭕📺 X-Men: The Animated Series - S04 (Sep 1995)</t>
  </si>
  <si>
    <t>6h 14m
(0h 22m ea)</t>
  </si>
  <si>
    <t xml:space="preserve">        ↳ Episode 1: One Man's Worth: Part 1</t>
  </si>
  <si>
    <t xml:space="preserve">        ↳ Episode 2: One Man's Worth: Part 2</t>
  </si>
  <si>
    <t xml:space="preserve">        ↳ Episode 3: Courage</t>
  </si>
  <si>
    <t xml:space="preserve">        ↳ Episode 4: Proteus: Part 1</t>
  </si>
  <si>
    <t xml:space="preserve">        ↳ Episode 5: Proteus: Part 2</t>
  </si>
  <si>
    <t xml:space="preserve">        ↳ Episode 6 Sanctuary: Part 1</t>
  </si>
  <si>
    <t xml:space="preserve">        ↳ Episode 7 Sanctuary: Part 2</t>
  </si>
  <si>
    <t xml:space="preserve">        ↳ Episode 8: Beyond Good &amp; Evil: Part 1</t>
  </si>
  <si>
    <t xml:space="preserve">        ↳ Episode 9: Beyond Good &amp; Evil: Part 2</t>
  </si>
  <si>
    <t xml:space="preserve">        ↳ Episode 10: Beyond Good &amp; Evil: Part 3</t>
  </si>
  <si>
    <t xml:space="preserve">        ↳ Episode 11: Beyond Good &amp; Evil: Part 4</t>
  </si>
  <si>
    <t xml:space="preserve">        ↳ Episode 12: Have Yourself a Morlock Little Christmas</t>
  </si>
  <si>
    <t xml:space="preserve">        ↳ Episode 13: Lotus and the Steel</t>
  </si>
  <si>
    <t xml:space="preserve">        ↳ Episode 14: Love in Vain</t>
  </si>
  <si>
    <t xml:space="preserve">        ↳ Episode 15 Secrets, Not Long Buried</t>
  </si>
  <si>
    <t xml:space="preserve">        ↳ Episode 16: Xavier Remembers</t>
  </si>
  <si>
    <t xml:space="preserve">        ↳ Episode 17: Family Ties</t>
  </si>
  <si>
    <t>⭕📺 X-Men: The Animated Series - S05 (Sep 1996)</t>
  </si>
  <si>
    <t>5h 08m
(0h 22m ea)</t>
  </si>
  <si>
    <t xml:space="preserve">        ↳ Episode 1: The Phalanx Covenant: Part 1</t>
  </si>
  <si>
    <t xml:space="preserve">        ↳ Episode 2: The Phalanx Covenant: Part 2</t>
  </si>
  <si>
    <t xml:space="preserve">        ↳ Episode 3: A Deal with the Devil</t>
  </si>
  <si>
    <t xml:space="preserve">        ↳ Episode 4: No Mutant Is an Island</t>
  </si>
  <si>
    <t xml:space="preserve">        ↳ Episode 5 Longshot</t>
  </si>
  <si>
    <t xml:space="preserve">        ↳ Episode 6 Bloodlines</t>
  </si>
  <si>
    <t xml:space="preserve">        ↳ Episode 7: Storm Front Part 1</t>
  </si>
  <si>
    <t xml:space="preserve">        ↳ Episode 8: Storm Front Part 2</t>
  </si>
  <si>
    <t xml:space="preserve">        ↳ Episode 9: Jubilee's Fairytale Theatre</t>
  </si>
  <si>
    <t xml:space="preserve">        ↳ Episode 10: The Fifth Horseman</t>
  </si>
  <si>
    <t xml:space="preserve">        ↳ Episode 11: Old Soldiers</t>
  </si>
  <si>
    <t xml:space="preserve">        ↳ Episode 12: Descent</t>
  </si>
  <si>
    <t xml:space="preserve">        ↳ Episode 13: Hidden Agendas</t>
  </si>
  <si>
    <t xml:space="preserve">        ↳ Episode 14: Graduation Day</t>
  </si>
  <si>
    <t>⭕📺 Spider-Man: The Animated Series - S01 (Nov 1994)</t>
  </si>
  <si>
    <t xml:space="preserve">        ↳ Episode 1: Night of the Lizard</t>
  </si>
  <si>
    <t xml:space="preserve">        ↳ Episode 2: The Spider Slayer</t>
  </si>
  <si>
    <t xml:space="preserve">        ↳ Episode 3: Return of the Spider Slayers</t>
  </si>
  <si>
    <t xml:space="preserve">        ↳ Episode 4: Doctor Octopus: Armed and Dangerous</t>
  </si>
  <si>
    <t xml:space="preserve">        ↳ Episode 5: The Menace of Mysterio</t>
  </si>
  <si>
    <t xml:space="preserve">        ↳ Episode 6: The Sting of the Scorpion</t>
  </si>
  <si>
    <t xml:space="preserve">        ↳ Episode 7: Kraven the Hunter</t>
  </si>
  <si>
    <t xml:space="preserve">        ↳ Episode 8: The Alien Costume, Part I</t>
  </si>
  <si>
    <t xml:space="preserve">        ↳ Episode 9: The Alien Costume, Part II</t>
  </si>
  <si>
    <t xml:space="preserve">        ↳ Episode 10: The Alien Costume, Part III</t>
  </si>
  <si>
    <t xml:space="preserve">        ↳ Episode 11: The Hobgoblin, Part I</t>
  </si>
  <si>
    <t xml:space="preserve">        ↳ Episode 12: The Hobgoblin, Part II</t>
  </si>
  <si>
    <t xml:space="preserve">        ↳ Episode 13: Day of the Chameleon</t>
  </si>
  <si>
    <t>⭕📺 Iron Man: The Animated Series - S01 (Sep 1994)</t>
  </si>
  <si>
    <t>Marvel Action Universe
[Earth 534834]</t>
  </si>
  <si>
    <t>        ↳ Episode 1: And the Sea Shall Give Up Its Dead</t>
  </si>
  <si>
    <t>        ↳ Episode 2: Rejoice! I Am Ultimo, Thy Deliverer</t>
  </si>
  <si>
    <t>        ↳ Episode 3: Data In, Chaos Out</t>
  </si>
  <si>
    <t>        ↳ Episode 4 Silence My Companion, Death My Destination</t>
  </si>
  <si>
    <t>        ↳ Episode 5: The Grim Reaper Wears a Teflon Coat</t>
  </si>
  <si>
    <t>        ↳ Episode 6: Enemy Within, Enemy Without</t>
  </si>
  <si>
    <t>        ↳ Episode 7: The Origin of the Mandarin</t>
  </si>
  <si>
    <t>        ↳ Episode 8: The Defection of Hawkeye</t>
  </si>
  <si>
    <t>        ↳ Episode 9: Iron Man to the Second Power, Part 1</t>
  </si>
  <si>
    <t xml:space="preserve">        ↳ Episode 10: Iron Man to the Second Power, Part 2</t>
  </si>
  <si>
    <t xml:space="preserve">        ↳ Episode 11: The Origin of Iron Man, Part 1</t>
  </si>
  <si>
    <t xml:space="preserve">        ↳ Episode 12: The Origin of Iron Man, Part 2</t>
  </si>
  <si>
    <t xml:space="preserve">        ↳ Episode 13: The Wedding of Iron Man</t>
  </si>
  <si>
    <t>⭕📺 Fantastic Four: The Animated Series - S01 (Sep 1994)</t>
  </si>
  <si>
    <t>        ↳ Episode 1: The Origin of the Fantastic Four: Part 1</t>
  </si>
  <si>
    <t>        ↳ Episode 2: The Origin of the Fantastic Four: Part 2</t>
  </si>
  <si>
    <t>        ↳ Episode 3: Now Comes the Sub-Mariner</t>
  </si>
  <si>
    <t xml:space="preserve">        ↳ Episode 4: Incursion of the Skrulls</t>
  </si>
  <si>
    <t xml:space="preserve">        ↳ Episode 5: The Silver Surfer &amp; the Coming of Galactus: Part 1</t>
  </si>
  <si>
    <t xml:space="preserve">        ↳ Episode 6: The Silver Surfer &amp; the Coming of Galactus: Part 2</t>
  </si>
  <si>
    <t xml:space="preserve">        ↳ Episode 7 Super Skrull</t>
  </si>
  <si>
    <t xml:space="preserve">        ↳ Episode 8: The Mask of Doom: Part 1</t>
  </si>
  <si>
    <t xml:space="preserve">        ↳ Episode 9: The Mask of Doom: Part 2</t>
  </si>
  <si>
    <t xml:space="preserve">        ↳ Episode 10: The Mask of Doom: Part 3</t>
  </si>
  <si>
    <t xml:space="preserve">        ↳ Episode 11: Mole Man</t>
  </si>
  <si>
    <t xml:space="preserve">        ↳ Episode 12: Behold the Negative Zone</t>
  </si>
  <si>
    <t xml:space="preserve">        ↳ Episode 13: The Silver Surfer &amp; the Return of Galactus</t>
  </si>
  <si>
    <t>⭕📺 Spider-Man: The Animated Series S02 (Sep 1995)</t>
  </si>
  <si>
    <t xml:space="preserve">        ↳ Episode 1: The Neogenic Nightmare Chapter I: The Insidious Six</t>
  </si>
  <si>
    <t xml:space="preserve">        ↳ Episode 2: The Neogenic Nightmare Chapter II: Battle of the Insidious Six</t>
  </si>
  <si>
    <t xml:space="preserve">        ↳ Episode 3: The Neogenic Nightmare Chapter III: Hydro-Man</t>
  </si>
  <si>
    <t xml:space="preserve">        ↳ Episode 4: The Neogenic Nightmare Chapter IV: The Mutant Agenda</t>
  </si>
  <si>
    <t xml:space="preserve">        ↳ Episode 5: The Neogenic Nightmare Chapter V: Mutants' Revenge</t>
  </si>
  <si>
    <t xml:space="preserve">        ↳ Episode 6: The Neogenic Nightmare Chapter VI: Morbius</t>
  </si>
  <si>
    <t xml:space="preserve">        ↳ Episode 7: The Neogenic Nightmare Chapter VII: Enter the Punisher</t>
  </si>
  <si>
    <t xml:space="preserve">        ↳ Episode 8: The Neogenic Nightmare Chapter VIII: Duel of the Hunters</t>
  </si>
  <si>
    <t xml:space="preserve">        ↳ Episode 9: The Neogenic Nightmare Chapter IX: Blade the Vampire Hunter</t>
  </si>
  <si>
    <t xml:space="preserve">        ↳ Episode 10: The Neogenic Nightmare Chapter X: The Immortal Vampire</t>
  </si>
  <si>
    <t xml:space="preserve">        ↳ Episode 11: The Neogenic Nightmare Chapter XI: Tablet of Time</t>
  </si>
  <si>
    <t xml:space="preserve">        ↳ Episode 12: The Neogenic Nightmare Chapter XII: Ravages of Time</t>
  </si>
  <si>
    <t xml:space="preserve">        ↳ Episode 13: The Neogenic Nightmare Chapter XIII Shriek of the Vulture</t>
  </si>
  <si>
    <t xml:space="preserve">        ↳ Episode 14: The Neogenic Nightmare Chapter XIV: The Final Nightmare</t>
  </si>
  <si>
    <t>⭕📺 Iron Man: The Animated Series S02 (Sep 1995)</t>
  </si>
  <si>
    <t xml:space="preserve">        ↳ Episode 1: The Beast Within</t>
  </si>
  <si>
    <t xml:space="preserve">        ↳ Episode 2: Fire and Rain</t>
  </si>
  <si>
    <t xml:space="preserve">        ↳ Episode 3: Cell of Iron</t>
  </si>
  <si>
    <t xml:space="preserve">        ↳ Episode 4: Not Far From the Tree</t>
  </si>
  <si>
    <t xml:space="preserve">        ↳ Episode 5: Beauty Knows No Pain</t>
  </si>
  <si>
    <t xml:space="preserve">        ↳ Episode 6: Iron Man, on the Inside</t>
  </si>
  <si>
    <t xml:space="preserve">        ↳ Episode 7: Distant Boundaries</t>
  </si>
  <si>
    <t xml:space="preserve">        ↳ Episode 8: The Armor Wars: Part 1</t>
  </si>
  <si>
    <t xml:space="preserve">        ↳ Episode 9: The Armor Wars: Part 2</t>
  </si>
  <si>
    <t xml:space="preserve">        ↳ Episode 10: Empowered</t>
  </si>
  <si>
    <t xml:space="preserve">        ↳ Episode 11: Hulk Buster</t>
  </si>
  <si>
    <t xml:space="preserve">        ↳ Episode 12: Hands of the Mandarin: Part 1</t>
  </si>
  <si>
    <t xml:space="preserve">        ↳ Episode 13: Hands of the Mandarin: Part 2</t>
  </si>
  <si>
    <t>⭕📺 Fantastic Four: The Animated Series S02 (Sep 1995)</t>
  </si>
  <si>
    <t xml:space="preserve">        ↳ Episode 1: And a Blind Man Shall Lead Them</t>
  </si>
  <si>
    <t xml:space="preserve">        ↳ Episode 2: Inhumans Saga: Part 1 - And the Wind Cries Medusa</t>
  </si>
  <si>
    <t xml:space="preserve">        ↳ Episode 3: Inhumans Saga: Part 2 - The Inhumans Among Us</t>
  </si>
  <si>
    <t xml:space="preserve">        ↳ Episode 4: Inhumans Saga: Part 3 - Beware the Hidden Land</t>
  </si>
  <si>
    <t xml:space="preserve">        ↳ Episode 5: Worlds Within Worlds</t>
  </si>
  <si>
    <t xml:space="preserve">        ↳ Episode 6: To Battle the Living Planet</t>
  </si>
  <si>
    <t xml:space="preserve">        ↳ Episode 7: Prey of the Black Panther</t>
  </si>
  <si>
    <t xml:space="preserve">        ↳ Episode 8: When Calls Galactus</t>
  </si>
  <si>
    <t xml:space="preserve">        ↳ Episode 9: Nightmare in Green</t>
  </si>
  <si>
    <t xml:space="preserve">        ↳ Episode 10: Behold, a Distant Star</t>
  </si>
  <si>
    <t xml:space="preserve">        ↳ Episode 11: Hopelessly Impossible</t>
  </si>
  <si>
    <t xml:space="preserve">        ↳ Episode 12: The Sentry Sinister</t>
  </si>
  <si>
    <t xml:space="preserve">        ↳ Episode 13: Doomsday</t>
  </si>
  <si>
    <t>⭕📺 The Incredible Hulk: The Animated Series S01 (Sep 1996)</t>
  </si>
  <si>
    <t xml:space="preserve">        ↳ Episode 1: Return of the Beast: Part 1</t>
  </si>
  <si>
    <t xml:space="preserve">        ↳ Episode 2: Return of the Beast: Part 2</t>
  </si>
  <si>
    <t xml:space="preserve">        ↳ Episode 3: Raw Power</t>
  </si>
  <si>
    <t xml:space="preserve">        ↳ Episode 4: Helping Hands, Iron Fist</t>
  </si>
  <si>
    <t xml:space="preserve">        ↳ Episode 5: Innocent Blood</t>
  </si>
  <si>
    <t xml:space="preserve">        ↳ Episode 6: Man to Man, Beast to Beast</t>
  </si>
  <si>
    <t xml:space="preserve">        ↳ Episode 7: Doomed</t>
  </si>
  <si>
    <t xml:space="preserve">        ↳ Episode 8: Fantastic Fortitude</t>
  </si>
  <si>
    <t xml:space="preserve">        ↳ Episode 9: Mortal Bounds</t>
  </si>
  <si>
    <t xml:space="preserve">        ↳ Episode 10: And the Wind Cries... Wendigo!</t>
  </si>
  <si>
    <t xml:space="preserve">        ↳ Episode 11: Darkness and Light: Part 1</t>
  </si>
  <si>
    <t xml:space="preserve">        ↳ Episode 12: Darkness and Light: Part 2</t>
  </si>
  <si>
    <t xml:space="preserve">        ↳ Episode 13: Darkness and Light: Part 3</t>
  </si>
  <si>
    <t>⭕📺 Spider-Man: The Animated Series S03 (Oct 1996)</t>
  </si>
  <si>
    <t xml:space="preserve">        ↳ Episode 1 Sins of the Fathers Chapter I: Doctor Strange</t>
  </si>
  <si>
    <t xml:space="preserve">        ↳ Episode 2 Sins of the Fathers Chapter II: Make a Wish</t>
  </si>
  <si>
    <t xml:space="preserve">        ↳ Episode 3 Sins of the Fathers Chapter III: Attack of the Octobot</t>
  </si>
  <si>
    <t xml:space="preserve">        ↳ Episode 4 Sins of the Fathers Chapter IV: Enter the Green Goblin</t>
  </si>
  <si>
    <t xml:space="preserve">        ↳ Episode 5 Sins of the Fathers Chapter V: Rocket Racer</t>
  </si>
  <si>
    <t xml:space="preserve">        ↳ Episode 6 Sins of the Fathers Chapter VI: Framed</t>
  </si>
  <si>
    <t xml:space="preserve">        ↳ Episode 7 Sins of the Fathers Chapter VII: The Man Without Fear</t>
  </si>
  <si>
    <t xml:space="preserve">        ↳ Episode 8 Sins of the Fathers Chapter VIII: The Ultimate Slayer</t>
  </si>
  <si>
    <t xml:space="preserve">        ↳ Episode 9 Sins of the Fathers Chapter IX: Tombstone</t>
  </si>
  <si>
    <t xml:space="preserve">        ↳ Episode 10 Sins of the Fathers Chapter X: Venom Returns</t>
  </si>
  <si>
    <t xml:space="preserve">        ↳ Episode 11 Sins of the Fathers Chapter XI: Carnage</t>
  </si>
  <si>
    <t xml:space="preserve">        ↳ Episode 12 Sins of the Fathers Chapter XII: The Spot</t>
  </si>
  <si>
    <t xml:space="preserve">        ↳ Episode 13 Sins of the Fathers Chapter XIII: Goblin War!</t>
  </si>
  <si>
    <t xml:space="preserve">        ↳ Episode 14 Sins of the Fathers Chapter XIV: Turning Point</t>
  </si>
  <si>
    <t>⭕📺 The Incredible Hulk: The Animated Series S02 (Sep 1997)</t>
  </si>
  <si>
    <t>2h 56m
(0h 22m ea)</t>
  </si>
  <si>
    <t xml:space="preserve">        ↳ Episode 1: Hulk of a Different Color</t>
  </si>
  <si>
    <t xml:space="preserve">        ↳ Episode 2: Down Memory Lane</t>
  </si>
  <si>
    <t xml:space="preserve">        ↳ Episode 3: Mind Over Anti-Matter</t>
  </si>
  <si>
    <t xml:space="preserve">        ↳ Episode 4: They Call Me Mr. Fixit</t>
  </si>
  <si>
    <t xml:space="preserve">        ↳ Episode 5: Fashion Warriors</t>
  </si>
  <si>
    <t xml:space="preserve">        ↳ Episode 6: Hollywood Rocks</t>
  </si>
  <si>
    <t xml:space="preserve">        ↳ Episode 7: The Lost Village</t>
  </si>
  <si>
    <t xml:space="preserve">        ↳ Episode 8: Mission: Incredible</t>
  </si>
  <si>
    <t>⭕📺 Spider-Man: The Animated Series S04 (Sep 1997)</t>
  </si>
  <si>
    <t>4h 02m
(0h 22m ea)</t>
  </si>
  <si>
    <t xml:space="preserve">        ↳ Episode 1: Partners in Danger Chapter I: Guilty</t>
  </si>
  <si>
    <t xml:space="preserve">        ↳ Episode 2: Partners in Danger Chapter II: The Cat</t>
  </si>
  <si>
    <t xml:space="preserve">        ↳ Episode 3: Partners in Danger Chapter III: The Black Cat</t>
  </si>
  <si>
    <t xml:space="preserve">        ↳ Episode 4: Partners in Danger Chapter IV: The Return of Kraven</t>
  </si>
  <si>
    <t xml:space="preserve">        ↳ Episode 5: Partners in Danger Chapter V: Partners</t>
  </si>
  <si>
    <t xml:space="preserve">        ↳ Episode 6: Partners in Danger Chapter VI: The Awakening</t>
  </si>
  <si>
    <t xml:space="preserve">        ↳ Episode 7: Partners in Danger Chapter VII: The Vampire Queen</t>
  </si>
  <si>
    <t xml:space="preserve">        ↳ Episode 8: Partners in Danger Chapter VIII: The Return of the Green Goblin</t>
  </si>
  <si>
    <t xml:space="preserve">        ↳ Episode 9: Partners in Danger Chapter IX: The Haunting of Mary Jane</t>
  </si>
  <si>
    <t xml:space="preserve">        ↳ Episode 10: Partners in Danger Chapter X: Lizard King</t>
  </si>
  <si>
    <t xml:space="preserve">        ↳ Episode 11: Partners in Danger Chapter XI The Prowler</t>
  </si>
  <si>
    <t>⭕📺 Silver Surfer: The Animated Series S01 (Feb 1998)</t>
  </si>
  <si>
    <t>Silver Surfer Animated
[Earth 634962]</t>
  </si>
  <si>
    <r>
      <t xml:space="preserve">Part of the </t>
    </r>
    <r>
      <rPr>
        <rFont val="Roboto"/>
        <i/>
        <color theme="1"/>
        <sz val="14.0"/>
      </rPr>
      <t>90s Marvel Animated Universe</t>
    </r>
    <r>
      <rPr>
        <rFont val="Roboto"/>
        <color theme="1"/>
        <sz val="14.0"/>
      </rPr>
      <t>, but exists in its own continuity due to contradictions with the Fantastic Four animated series.</t>
    </r>
  </si>
  <si>
    <t xml:space="preserve">        ↳ Episode 1: The Origin of the Silver Surfer: Part 1</t>
  </si>
  <si>
    <t xml:space="preserve">        ↳ Episode 2: The Origin of the Silver Surfer: Part 2</t>
  </si>
  <si>
    <t xml:space="preserve">        ↳ Episode 3: The Origin of the Silver Surfer: Part 3</t>
  </si>
  <si>
    <t xml:space="preserve">        ↳ Episode 4: The Planet of Dr. Moreau</t>
  </si>
  <si>
    <t xml:space="preserve">        ↳ Episode 5: Learning Curve: Part 1</t>
  </si>
  <si>
    <t xml:space="preserve">        ↳ Episode 6: Learning Curve: Part 2</t>
  </si>
  <si>
    <t xml:space="preserve">        ↳ Episode 7: Innervisions</t>
  </si>
  <si>
    <t xml:space="preserve">        ↳ Episode 8: Antibody</t>
  </si>
  <si>
    <t xml:space="preserve">        ↳ Episode 9: Second Foundation</t>
  </si>
  <si>
    <t xml:space="preserve">        ↳ Episode 10: Radical Justice</t>
  </si>
  <si>
    <t xml:space="preserve">        ↳ Episode 11: The Forever War</t>
  </si>
  <si>
    <t xml:space="preserve">        ↳ Episode 12: Return to Zenn-La</t>
  </si>
  <si>
    <t xml:space="preserve">        ↳ Episode 13: The End of Eternity</t>
  </si>
  <si>
    <t>⭕📺 Spider-Man: The Animated Series S05 (Jan 1998)</t>
  </si>
  <si>
    <t xml:space="preserve">        ↳ Episode 1: The Wedding</t>
  </si>
  <si>
    <t xml:space="preserve">        ↳ Episode 2 Six Forgotten Warriors Chapter I</t>
  </si>
  <si>
    <t xml:space="preserve">        ↳ Episode 3 Six Forgotten Warriors Chapter II: Unclaimed Legacy</t>
  </si>
  <si>
    <t xml:space="preserve">        ↳ Episode 4 Six Forgotten Warriors Chapter III Secrets of the Six</t>
  </si>
  <si>
    <t xml:space="preserve">        ↳ Episode 5 Six Forgotten Warriors Chapter IV: The Six Fight Again</t>
  </si>
  <si>
    <t xml:space="preserve">        ↳ Episode 6 Six Forgotten Warriors Chapter V: The Price of Heroism</t>
  </si>
  <si>
    <t xml:space="preserve">        ↳ Episode 7: Return of Water-Man: Part 1</t>
  </si>
  <si>
    <t xml:space="preserve">        ↳ Episode 8: Return of Water-Man: Part 2</t>
  </si>
  <si>
    <t xml:space="preserve">        ↳ Episode 9 Secret Wars Chapter I: Arrival</t>
  </si>
  <si>
    <t xml:space="preserve">        ↳ Episode 10 Secret Wars Chapter II: The Gauntlet of the Red Skull</t>
  </si>
  <si>
    <t xml:space="preserve">        ↳ Episode 11 Secret Wars Chapter III: Doom</t>
  </si>
  <si>
    <t xml:space="preserve">        ↳ Episode 12 Spider Wars Chapter I: I Really, Really Hate Clones</t>
  </si>
  <si>
    <t xml:space="preserve">        ↳ Episode 13 Spider Wars Chapter II: Farewell, Spider-Man</t>
  </si>
  <si>
    <t>⭕📺 Spider-Man Unlimited S01 (Oct 1999)</t>
  </si>
  <si>
    <t>Spider-Man Unlimited
[Earth 751263]</t>
  </si>
  <si>
    <r>
      <t xml:space="preserve">A separate Spider-Man continuity from </t>
    </r>
    <r>
      <rPr>
        <rFont val="Roboto"/>
        <i/>
        <color theme="1"/>
        <sz val="14.0"/>
      </rPr>
      <t>The Animated Series</t>
    </r>
    <r>
      <rPr>
        <rFont val="Roboto"/>
        <color theme="1"/>
        <sz val="14.0"/>
      </rPr>
      <t xml:space="preserve">, but still adjacent and a part of the </t>
    </r>
    <r>
      <rPr>
        <rFont val="Roboto"/>
        <i/>
        <color theme="1"/>
        <sz val="14.0"/>
      </rPr>
      <t>90s Marvel Animated Universe</t>
    </r>
    <r>
      <rPr>
        <rFont val="Roboto"/>
        <color theme="1"/>
        <sz val="14.0"/>
      </rPr>
      <t>.</t>
    </r>
  </si>
  <si>
    <t xml:space="preserve">        ↳ Episode 1: Worlds Apart: Part 1</t>
  </si>
  <si>
    <t xml:space="preserve">        ↳ Episode 2: Worlds Apart: Part 2</t>
  </si>
  <si>
    <t xml:space="preserve">        ↳ Episode 3: Where Evil Nests</t>
  </si>
  <si>
    <t xml:space="preserve">        ↳ Episode 4: Deadly Choices</t>
  </si>
  <si>
    <t xml:space="preserve">        ↳ Episode 5 Steel Cold Heart</t>
  </si>
  <si>
    <t xml:space="preserve">        ↳ Episode 6: Enter the Hunter!</t>
  </si>
  <si>
    <t xml:space="preserve">        ↳ Episode 7: Cry Vulture</t>
  </si>
  <si>
    <t xml:space="preserve">        ↳ Episode 8: Ill-Met by Moonlight</t>
  </si>
  <si>
    <t xml:space="preserve">        ↳ Episode 9 Sustenance</t>
  </si>
  <si>
    <t xml:space="preserve">        ↳ Episode 10: Matters of the Heart</t>
  </si>
  <si>
    <t xml:space="preserve">        ↳ Episode 11: One Is the Loneliest Number</t>
  </si>
  <si>
    <t xml:space="preserve">        ↳ Episode 12: Sins of the Fathers</t>
  </si>
  <si>
    <t xml:space="preserve">        ↳ Episode 13 Destiny Unleashed</t>
  </si>
  <si>
    <t>⭕📺 The Avengers: United They Stand S01 (Oct 1999)</t>
  </si>
  <si>
    <t>The Avengers UTS
[Earth 730784]</t>
  </si>
  <si>
    <r>
      <t xml:space="preserve">Part of the </t>
    </r>
    <r>
      <rPr>
        <rFont val="Roboto"/>
        <i/>
        <color theme="1"/>
        <sz val="14.0"/>
      </rPr>
      <t>90s Marvel Animated Universe</t>
    </r>
    <r>
      <rPr>
        <rFont val="Roboto"/>
        <color theme="1"/>
        <sz val="14.0"/>
      </rPr>
      <t>, but exists as its own separate continuity.</t>
    </r>
  </si>
  <si>
    <t xml:space="preserve">        ↳ Episode 1: Avengers Assemble: Part 1</t>
  </si>
  <si>
    <t xml:space="preserve">        ↳ Episode 2: Avengers Assemble: Part 2</t>
  </si>
  <si>
    <t xml:space="preserve">        ↳ Episode 3: Kang</t>
  </si>
  <si>
    <t xml:space="preserve">        ↳ Episode 4: Comes a Swordsman</t>
  </si>
  <si>
    <t xml:space="preserve">        ↳ Episode 5: Remnants</t>
  </si>
  <si>
    <t xml:space="preserve">        ↳ Episode 6: Command Decision</t>
  </si>
  <si>
    <t xml:space="preserve">        ↳ Episode 7: To Rule Atlantis</t>
  </si>
  <si>
    <t xml:space="preserve">        ↳ Episode 8 Shooting Stars</t>
  </si>
  <si>
    <t xml:space="preserve">        ↳ Episode 9: What a Vision Has to Do</t>
  </si>
  <si>
    <t xml:space="preserve">        ↳ Episode 10: Egg-Streme Vengeance</t>
  </si>
  <si>
    <t xml:space="preserve">        ↳ Episode 11: The Sorceress's Apprentice</t>
  </si>
  <si>
    <t xml:space="preserve">        ↳ Episode 12: Earth and Fire: Part 1</t>
  </si>
  <si>
    <t xml:space="preserve">        ↳ Episode 13: Earth and Fire: Part 2</t>
  </si>
  <si>
    <t>LEGEND: ⭐= Important / Major Impact | 📺= Series | 🍿= MCU Movie / Special | 🎬= Shortfilm/Oneshot | ⭕= Other Universe (Non-MCU)</t>
  </si>
  <si>
    <t xml:space="preserve">    PRE MCU: LEGACY MARVEL COLLECTION</t>
  </si>
  <si>
    <t>⭕ Howard the Duck (Aug 1986)</t>
  </si>
  <si>
    <t>1h 50m</t>
  </si>
  <si>
    <t>Howard The Duck Universe
[Earth 58470]</t>
  </si>
  <si>
    <r>
      <rPr>
        <rFont val="Roboto"/>
        <b/>
        <color theme="1"/>
        <sz val="14.0"/>
      </rPr>
      <t xml:space="preserve">An honourable inclusion: </t>
    </r>
    <r>
      <rPr>
        <rFont val="Roboto"/>
        <color theme="1"/>
        <sz val="14.0"/>
      </rPr>
      <t xml:space="preserve">officially Marvel's first live-action movie to hit cinemas.
Fair warning, </t>
    </r>
    <r>
      <rPr>
        <rFont val="Roboto"/>
        <b/>
        <color theme="1"/>
        <sz val="14.0"/>
      </rPr>
      <t>this one is definitely not for kids!</t>
    </r>
  </si>
  <si>
    <t>Phase 0 Completion:</t>
  </si>
  <si>
    <t>⭕ Blade (Aug 1998)</t>
  </si>
  <si>
    <t>2h 00m</t>
  </si>
  <si>
    <t>Blade Universe
[Earth 26320]</t>
  </si>
  <si>
    <t>Phase 0 Skipped:</t>
  </si>
  <si>
    <t>⭕ X-Men (Jul 2000)</t>
  </si>
  <si>
    <t>1h 44m</t>
  </si>
  <si>
    <t>Foxverse (X-Men Original Trilogy)
[Earth 41578]</t>
  </si>
  <si>
    <t>⭕ Blade 2 (Mar 2002)</t>
  </si>
  <si>
    <t>1h 57m</t>
  </si>
  <si>
    <t>⭐⭕ Spider-Man (May 2002)</t>
  </si>
  <si>
    <t>2h 01m</t>
  </si>
  <si>
    <t>The Raimiverse
[Earth 96283]</t>
  </si>
  <si>
    <t>⭕ Daredevil (Feb 2003)</t>
  </si>
  <si>
    <t>✅ Yes 1</t>
  </si>
  <si>
    <t>1h 43m</t>
  </si>
  <si>
    <t>Daredevil Universe
[Earth 701306]</t>
  </si>
  <si>
    <r>
      <rPr>
        <rFont val="Roboto"/>
        <i/>
        <color rgb="FF000000"/>
        <sz val="14.0"/>
      </rPr>
      <t xml:space="preserve">Director’s Cut </t>
    </r>
    <r>
      <rPr>
        <rFont val="Roboto"/>
        <color rgb="FF000000"/>
        <sz val="14.0"/>
      </rPr>
      <t>adds around 30mins more to the movie and is considered a MUCH better film.</t>
    </r>
  </si>
  <si>
    <t>⭕ Hulk (Jun 2003)</t>
  </si>
  <si>
    <t>2h 18m</t>
  </si>
  <si>
    <t>Hulk Universe
[Earth 400083]</t>
  </si>
  <si>
    <r>
      <rPr>
        <rFont val="Roboto"/>
        <color rgb="FF000000"/>
        <sz val="14.0"/>
      </rPr>
      <t xml:space="preserve">This is </t>
    </r>
    <r>
      <rPr>
        <rFont val="Roboto"/>
        <b/>
        <i/>
        <color rgb="FF000000"/>
        <sz val="14.0"/>
      </rPr>
      <t>not</t>
    </r>
    <r>
      <rPr>
        <rFont val="Roboto"/>
        <color rgb="FF000000"/>
        <sz val="14.0"/>
      </rPr>
      <t xml:space="preserve"> connected to the MCU hulk.
This is a seperate universe.</t>
    </r>
  </si>
  <si>
    <t>⭕ X2 (May 2003)</t>
  </si>
  <si>
    <t>2h 14m</t>
  </si>
  <si>
    <t>⭐⭕ Spider-Man 2 (Jun 2004)</t>
  </si>
  <si>
    <t>2h 07m</t>
  </si>
  <si>
    <t>⭕ Blade Trinity (Dec 2004)</t>
  </si>
  <si>
    <t>1h 53m</t>
  </si>
  <si>
    <t>⭕ The Punisher (Apr 2004)</t>
  </si>
  <si>
    <t>2h 04m</t>
  </si>
  <si>
    <t>The Punisher Universe
[Earth 58732]</t>
  </si>
  <si>
    <t>⭕ Elektra (Jan 2005)</t>
  </si>
  <si>
    <t>1h 37m</t>
  </si>
  <si>
    <r>
      <t xml:space="preserve">Sequel/Spin off to </t>
    </r>
    <r>
      <rPr>
        <rFont val="Roboto"/>
        <i/>
        <color rgb="FF000000"/>
        <sz val="14.0"/>
      </rPr>
      <t>Daredevil (2003).</t>
    </r>
  </si>
  <si>
    <t>⭕ Fantastic Four (Jul 2005)</t>
  </si>
  <si>
    <t>1h 46m</t>
  </si>
  <si>
    <t>Fantastic Four Universe
[Earth 121698]</t>
  </si>
  <si>
    <t>⭐⭕ X-Men The Last Stand (May 2006)</t>
  </si>
  <si>
    <t>✅ Yes 2</t>
  </si>
  <si>
    <r>
      <rPr>
        <rFont val="Roboto"/>
        <color rgb="FF000000"/>
        <sz val="14.0"/>
      </rPr>
      <t xml:space="preserve">Important post-credits scene wasn't included with every release and people didn't even know it existed!
</t>
    </r>
    <r>
      <rPr>
        <rFont val="Roboto"/>
        <b/>
        <color rgb="FF000000"/>
        <sz val="14.0"/>
      </rPr>
      <t xml:space="preserve">WATCH </t>
    </r>
    <r>
      <rPr>
        <rFont val="Roboto"/>
        <b/>
        <color rgb="FF1155CC"/>
        <sz val="14.0"/>
        <u/>
      </rPr>
      <t>HERE</t>
    </r>
    <r>
      <rPr>
        <rFont val="Roboto"/>
        <color rgb="FF000000"/>
        <sz val="14.0"/>
      </rPr>
      <t>.</t>
    </r>
  </si>
  <si>
    <t>⭕📺 Blade: The Series (Jun 2006)</t>
  </si>
  <si>
    <t>9h 20m
(~0h 45m ea)</t>
  </si>
  <si>
    <t>        ↳ Episode 1: Pilot (Part 1)</t>
  </si>
  <si>
    <t>0h 44m</t>
  </si>
  <si>
    <t>        ↳ Episode 2: Pilot (Part 2)</t>
  </si>
  <si>
    <t>0h 45m</t>
  </si>
  <si>
    <t>        ↳ Episode 3: Death Goes On</t>
  </si>
  <si>
    <t>        ↳ Episode 4: Descent</t>
  </si>
  <si>
    <t>        ↳ Episode 5: Bloodlines</t>
  </si>
  <si>
    <t>        ↳ Episode 6: The Evil Within</t>
  </si>
  <si>
    <t>        ↳ Episode 7: Delivery</t>
  </si>
  <si>
    <t>        ↳ Episode 8 Sacrifice</t>
  </si>
  <si>
    <t>        ↳ Episode 9: Turn of the Screw</t>
  </si>
  <si>
    <t>        ↳ Episode 10: Angels and Demons</t>
  </si>
  <si>
    <t>        ↳ Episode 11: Hunters</t>
  </si>
  <si>
    <t>        ↳ Episode 12: Monsters</t>
  </si>
  <si>
    <t>        ↳ Episode 13: Conclave</t>
  </si>
  <si>
    <t>⭕ Ghost Rider (Feb 2007)</t>
  </si>
  <si>
    <t>Ghost Rider Universe
[Earth 121347]</t>
  </si>
  <si>
    <t>⭐⭕ Spider-Man 3 (May 2007)</t>
  </si>
  <si>
    <t>2h 19m</t>
  </si>
  <si>
    <r>
      <rPr>
        <rFont val="Roboto"/>
        <i/>
        <color rgb="FF000000"/>
        <sz val="14.0"/>
      </rPr>
      <t>Spider-Man 3.1 (Editor's Cut)</t>
    </r>
    <r>
      <rPr>
        <rFont val="Roboto"/>
        <color rgb="FF000000"/>
        <sz val="14.0"/>
      </rPr>
      <t xml:space="preserve">, is a re-edit w/ slightly improved pacing and fewer awkward scenes. </t>
    </r>
  </si>
  <si>
    <t>⭐⭕ Fantastic Four Rise of the Silver Surfer (Jun 2007)</t>
  </si>
  <si>
    <t>1h 32m</t>
  </si>
  <si>
    <t>⭕ Punisher: War Zone (Dec 2008)</t>
  </si>
  <si>
    <t>Punisher War Zone Universe
[Earth 47281]</t>
  </si>
  <si>
    <r>
      <rPr>
        <rFont val="Roboto"/>
        <i/>
        <color rgb="FF000000"/>
        <sz val="18.0"/>
      </rPr>
      <t xml:space="preserve">Note: The MCU is labelled here as </t>
    </r>
    <r>
      <rPr>
        <rFont val="Roboto"/>
        <b/>
        <i/>
        <color rgb="FF000000"/>
        <sz val="18.0"/>
      </rPr>
      <t>“Earth-616”,</t>
    </r>
    <r>
      <rPr>
        <rFont val="Roboto"/>
        <i/>
        <color rgb="FF000000"/>
        <sz val="18.0"/>
      </rPr>
      <t xml:space="preserve"> but is officially referenced as both </t>
    </r>
    <r>
      <rPr>
        <rFont val="Roboto"/>
        <b/>
        <i/>
        <color rgb="FF000000"/>
        <sz val="18.0"/>
      </rPr>
      <t>616</t>
    </r>
    <r>
      <rPr>
        <rFont val="Roboto"/>
        <i/>
        <color rgb="FF000000"/>
        <sz val="18.0"/>
      </rPr>
      <t xml:space="preserve"> and </t>
    </r>
    <r>
      <rPr>
        <rFont val="Roboto"/>
        <b/>
        <i/>
        <color rgb="FF000000"/>
        <sz val="18.0"/>
      </rPr>
      <t>199999.</t>
    </r>
  </si>
  <si>
    <t xml:space="preserve">    THE INFINITY SAGA—
    PHASE 1: AVENGERS ASSEMBLE</t>
  </si>
  <si>
    <t>⭐🍿 Iron Man (May 2008)</t>
  </si>
  <si>
    <t>2h 06m</t>
  </si>
  <si>
    <t>MCU
[Earth 616]</t>
  </si>
  <si>
    <t>Phase 1 Completion:</t>
  </si>
  <si>
    <t>🍿 The Incredible Hulk (Jun 2008)</t>
  </si>
  <si>
    <t>1h 52m</t>
  </si>
  <si>
    <r>
      <t xml:space="preserve">There's an alternate opening that provides a much darker introduction to </t>
    </r>
    <r>
      <rPr>
        <rFont val="Roboto"/>
        <i/>
        <color theme="1"/>
        <sz val="14.0"/>
      </rPr>
      <t>Bruce Banner</t>
    </r>
    <r>
      <rPr>
        <rFont val="Roboto"/>
        <color theme="1"/>
        <sz val="14.0"/>
      </rPr>
      <t xml:space="preserve">.
</t>
    </r>
    <r>
      <rPr>
        <rFont val="Roboto"/>
        <b/>
        <color theme="1"/>
        <sz val="14.0"/>
      </rPr>
      <t>SEE BELOW ⬇⬇⬇⬇⬇</t>
    </r>
  </si>
  <si>
    <t>Phase 1 Skipped:</t>
  </si>
  <si>
    <t>🎬 The Consultant (Sep 2011)
[One Shot] ((!!AFTER HULK!!))</t>
  </si>
  <si>
    <t>0h 04m</t>
  </si>
  <si>
    <r>
      <t xml:space="preserve">Watch this after </t>
    </r>
    <r>
      <rPr>
        <rFont val="Roboto"/>
        <b/>
        <i/>
        <color theme="1"/>
        <sz val="14.0"/>
      </rPr>
      <t>The Incredible Hulk (2008)</t>
    </r>
    <r>
      <rPr>
        <rFont val="Roboto"/>
        <b/>
        <color theme="1"/>
        <sz val="14.0"/>
      </rPr>
      <t>!</t>
    </r>
  </si>
  <si>
    <t>⭕ X-Men Origins: Wolverine (May 2009)</t>
  </si>
  <si>
    <t>1h 47m</t>
  </si>
  <si>
    <t>Foxverse (Wolverine Trilogy)
[Earth 41578]</t>
  </si>
  <si>
    <t>🍿 Iron Man 2 (Apr 2010)</t>
  </si>
  <si>
    <t>⭕ X-Men First Class (Jun 2011)</t>
  </si>
  <si>
    <t>2h 11m</t>
  </si>
  <si>
    <t>Foxverse (X-Men Prequels)
[Earth 41578]</t>
  </si>
  <si>
    <t>🎬 A Funny Thing Happened on the Way to Thor’s Hammer
(Oct 2011) [One Shot] ((!!BEFORE THOR!!))</t>
  </si>
  <si>
    <r>
      <t xml:space="preserve">Watch this before </t>
    </r>
    <r>
      <rPr>
        <rFont val="Roboto"/>
        <b/>
        <i/>
        <color theme="1"/>
        <sz val="14.0"/>
      </rPr>
      <t>Thor (2011)</t>
    </r>
    <r>
      <rPr>
        <rFont val="Roboto"/>
        <b/>
        <color theme="1"/>
        <sz val="14.0"/>
      </rPr>
      <t>!</t>
    </r>
  </si>
  <si>
    <t>⭐🍿 Thor (May 2011)</t>
  </si>
  <si>
    <t>1h 55m</t>
  </si>
  <si>
    <t>SEE ABOVE ⬆⬆⬆⬆⬆</t>
  </si>
  <si>
    <t>⭐🍿 Captain America: The First Avenger (Jul 2011)</t>
  </si>
  <si>
    <t>⭕ Ghost Rider Spirit of Vengeance (Feb 2012)</t>
  </si>
  <si>
    <t>1h 36m</t>
  </si>
  <si>
    <t>⭐🍿 The Avengers (aka Avengers Assemble) (Apr 2012)</t>
  </si>
  <si>
    <t>2h 23m</t>
  </si>
  <si>
    <t xml:space="preserve">    THE INFINITY SAGA—
    PHASE 2: THE AGE OF MIRACLES</t>
  </si>
  <si>
    <t>⭕ The Amazing Spider-Man (Jul 2012)</t>
  </si>
  <si>
    <t>2h 16m</t>
  </si>
  <si>
    <t>The Webbverse
[Earth 120703]</t>
  </si>
  <si>
    <t>Phase 2 Completion:</t>
  </si>
  <si>
    <t>🎬 Item 47 (Sep 2012)
[One Shot]</t>
  </si>
  <si>
    <t>0h 12m</t>
  </si>
  <si>
    <t>Phase 2 Skipped:</t>
  </si>
  <si>
    <t>⭐🍿 Iron Man 3 (Apr 2013)</t>
  </si>
  <si>
    <t>2h 13m</t>
  </si>
  <si>
    <t>🎬 All Hail the King (Feb 2014)
[One Shot]</t>
  </si>
  <si>
    <t>0h 13m</t>
  </si>
  <si>
    <r>
      <rPr>
        <rFont val="Roboto"/>
        <b/>
        <color theme="1"/>
        <sz val="14.0"/>
      </rPr>
      <t xml:space="preserve">Watch after </t>
    </r>
    <r>
      <rPr>
        <rFont val="Roboto"/>
        <b/>
        <i/>
        <color theme="1"/>
        <sz val="14.0"/>
      </rPr>
      <t>Iron Man 3 (2013)</t>
    </r>
    <r>
      <rPr>
        <rFont val="Roboto"/>
        <b/>
        <color theme="1"/>
        <sz val="14.0"/>
      </rPr>
      <t>!</t>
    </r>
    <r>
      <rPr>
        <rFont val="Roboto"/>
        <color theme="1"/>
        <sz val="14.0"/>
      </rPr>
      <t xml:space="preserve">
(Important for </t>
    </r>
    <r>
      <rPr>
        <rFont val="Roboto"/>
        <i/>
        <color theme="1"/>
        <sz val="14.0"/>
      </rPr>
      <t>Shang-Chi and the Legend of the Ten Rings (2021)</t>
    </r>
    <r>
      <rPr>
        <rFont val="Roboto"/>
        <color theme="1"/>
        <sz val="14.0"/>
      </rPr>
      <t xml:space="preserve"> later!)</t>
    </r>
  </si>
  <si>
    <t>⭕ The Wolverine (Sep 2013)</t>
  </si>
  <si>
    <r>
      <rPr>
        <rFont val="Roboto"/>
        <color theme="1"/>
        <sz val="14.0"/>
      </rPr>
      <t xml:space="preserve">There is an </t>
    </r>
    <r>
      <rPr>
        <rFont val="Roboto"/>
        <i/>
        <color theme="1"/>
        <sz val="14.0"/>
      </rPr>
      <t>Extended Cut</t>
    </r>
    <r>
      <rPr>
        <rFont val="Roboto"/>
        <color theme="1"/>
        <sz val="14.0"/>
      </rPr>
      <t xml:space="preserve"> that adds ~12 mins. With much more violent scenes.</t>
    </r>
  </si>
  <si>
    <t>⭐🍿 Thor: The Dark World (Nov 2013)</t>
  </si>
  <si>
    <t>📺 Agents of S.H.I.E.L.D. S01 (Sep 2013 – May 2014)</t>
  </si>
  <si>
    <t>✅ Ep 22</t>
  </si>
  <si>
    <t>16h 30m
(~0h 45m ea)</t>
  </si>
  <si>
    <t>MCU (AoS)
[Earth 616]</t>
  </si>
  <si>
    <r>
      <rPr>
        <rFont val="Roboto"/>
        <b/>
        <i/>
        <color theme="1"/>
        <sz val="14.0"/>
      </rPr>
      <t>Intended</t>
    </r>
    <r>
      <rPr>
        <rFont val="Roboto"/>
        <b/>
        <color theme="1"/>
        <sz val="14.0"/>
      </rPr>
      <t xml:space="preserve"> to be main MCU</t>
    </r>
    <r>
      <rPr>
        <rFont val="Roboto"/>
        <color theme="1"/>
        <sz val="14.0"/>
      </rPr>
      <t xml:space="preserve">, with direct connections to the films. It later diverges from the main MCU timeline, branching into a </t>
    </r>
    <r>
      <rPr>
        <rFont val="Roboto"/>
        <b/>
        <color theme="1"/>
        <sz val="14.0"/>
      </rPr>
      <t>completely</t>
    </r>
    <r>
      <rPr>
        <rFont val="Roboto"/>
        <color theme="1"/>
        <sz val="14.0"/>
      </rPr>
      <t xml:space="preserve"> </t>
    </r>
    <r>
      <rPr>
        <rFont val="Roboto"/>
        <b/>
        <color theme="1"/>
        <sz val="14.0"/>
      </rPr>
      <t>new reality.</t>
    </r>
  </si>
  <si>
    <t xml:space="preserve">        ↳ Episode 1: Pilot</t>
  </si>
  <si>
    <t xml:space="preserve">        ↳ Episode 2: 0-8-4</t>
  </si>
  <si>
    <t xml:space="preserve">        ↳ Episode 3: The Asset</t>
  </si>
  <si>
    <t xml:space="preserve">        ↳ Episode 4: Eye Spy</t>
  </si>
  <si>
    <t xml:space="preserve">        ↳ Episode 5: Girl in the Flower Dress</t>
  </si>
  <si>
    <t xml:space="preserve">        ↳ Episode 6: FZZT</t>
  </si>
  <si>
    <t xml:space="preserve">        ↳ Episode 7: The Hub</t>
  </si>
  <si>
    <t xml:space="preserve">        ↳ Episode 8: The Well</t>
  </si>
  <si>
    <t xml:space="preserve">        ↳ Episode 9: Repairs</t>
  </si>
  <si>
    <t xml:space="preserve">        ↳ Episode 10: The Bridge</t>
  </si>
  <si>
    <t xml:space="preserve">        ↳ Episode 11: The Magical Place</t>
  </si>
  <si>
    <t xml:space="preserve">        ↳ Episode 12 Seeds</t>
  </si>
  <si>
    <t xml:space="preserve">        ↳ Episode 13: T.A.H.I.T.I.</t>
  </si>
  <si>
    <t xml:space="preserve">        ↳ Episode 14: Yes Men</t>
  </si>
  <si>
    <t xml:space="preserve">        ↳ Episode 15: End of the Beginning</t>
  </si>
  <si>
    <t xml:space="preserve">        ↳ Episode 16: Turn, Turn, Turn</t>
  </si>
  <si>
    <t>⚠️ Watch Captain America: The Winter Soldier immediately after this episode!</t>
  </si>
  <si>
    <t xml:space="preserve">        ↳ Episode 17 Shadows</t>
  </si>
  <si>
    <t>⚠️ Continues directly from Captain America: The Winter Soldier.</t>
  </si>
  <si>
    <t xml:space="preserve">        ↳ Episode 18: Providence</t>
  </si>
  <si>
    <t xml:space="preserve">        ↳ Episode 19: The Only Light in the Darkness</t>
  </si>
  <si>
    <t xml:space="preserve">        ↳ Episode 20: Nothing Personal</t>
  </si>
  <si>
    <t xml:space="preserve">        ↳ Episode 21: Ragtag</t>
  </si>
  <si>
    <t xml:space="preserve">        ↳ Episode 22: Beginning of the End</t>
  </si>
  <si>
    <t>⭐🍿 Captain America: The Winter Soldier (Mar 2014)</t>
  </si>
  <si>
    <t>⭕ The Amazing Spider-Man 2 (May 2014)</t>
  </si>
  <si>
    <t>2h 22m</t>
  </si>
  <si>
    <t xml:space="preserve">⭐⭕ X-Men Days of Future Past (May 2014) </t>
  </si>
  <si>
    <t>Foxverse (Revised) / (X-Men Prequels) 
[Earth 41578 &gt; 10005]</t>
  </si>
  <si>
    <r>
      <t xml:space="preserve">The </t>
    </r>
    <r>
      <rPr>
        <rFont val="Roboto"/>
        <i/>
        <color theme="1"/>
        <sz val="14.0"/>
      </rPr>
      <t>Rogue-Cut</t>
    </r>
    <r>
      <rPr>
        <rFont val="Roboto"/>
        <color theme="1"/>
        <sz val="14.0"/>
      </rPr>
      <t xml:space="preserve"> adds a </t>
    </r>
    <r>
      <rPr>
        <rFont val="Roboto"/>
        <b/>
        <i val="0"/>
        <color theme="1"/>
        <sz val="14.0"/>
      </rPr>
      <t>LOT</t>
    </r>
    <r>
      <rPr>
        <rFont val="Roboto"/>
        <color theme="1"/>
        <sz val="14.0"/>
      </rPr>
      <t xml:space="preserve"> more to the movie!
</t>
    </r>
    <r>
      <rPr>
        <rFont val="Roboto"/>
        <b/>
        <i/>
        <color theme="1"/>
        <sz val="14.0"/>
      </rPr>
      <t>HIGHLY RECOMMENDED!</t>
    </r>
  </si>
  <si>
    <t>🍿 Guardians of the Galaxy (Jul 2014)</t>
  </si>
  <si>
    <t>📺 Agents of S.H.I.E.L.D. S02 (Sep 2014 - May 2015)</t>
  </si>
  <si>
    <t>✅ Ep 10, 22</t>
  </si>
  <si>
    <t>15h 44m
(~0h 43m ea)</t>
  </si>
  <si>
    <t xml:space="preserve">        ↳ Episode 1 Shadows</t>
  </si>
  <si>
    <t>0h 43m</t>
  </si>
  <si>
    <t xml:space="preserve">        ↳ Episode 2: Heavy is the Head</t>
  </si>
  <si>
    <t xml:space="preserve">        ↳ Episode 3: Making Friends and Influencing People</t>
  </si>
  <si>
    <t xml:space="preserve">        ↳ Episode 4: Face My Enemy</t>
  </si>
  <si>
    <t xml:space="preserve">        ↳ Episode 5: A Hen in the Wolf House</t>
  </si>
  <si>
    <t xml:space="preserve">        ↳ Episode 6: A Fractured House</t>
  </si>
  <si>
    <t xml:space="preserve">        ↳ Episode 7: The Writing on the Wall</t>
  </si>
  <si>
    <t xml:space="preserve">        ↳ Episode 8: The Things We Bury</t>
  </si>
  <si>
    <t xml:space="preserve">        ↳ Episode 9: ...Ye Who Enter Here</t>
  </si>
  <si>
    <t xml:space="preserve">        ↳ Episode 10: What They Become</t>
  </si>
  <si>
    <t xml:space="preserve">        ↳ Episode 11: Aftershocks</t>
  </si>
  <si>
    <t xml:space="preserve">        ↳ Episode 12: Who You Really Are</t>
  </si>
  <si>
    <t>0h 42m</t>
  </si>
  <si>
    <t xml:space="preserve">        ↳ Episode 13: One of Us</t>
  </si>
  <si>
    <t xml:space="preserve">        ↳ Episode 14: Love in the Time of Hydra</t>
  </si>
  <si>
    <t xml:space="preserve">        ↳ Episode 15: One Door Closes</t>
  </si>
  <si>
    <t xml:space="preserve">        ↳ Episode 16: Afterlife</t>
  </si>
  <si>
    <t xml:space="preserve">        ↳ Episode 17: Melinda</t>
  </si>
  <si>
    <t xml:space="preserve">        ↳ Episode 18: The Frenemy of My Enemy</t>
  </si>
  <si>
    <t xml:space="preserve">        ↳ Episode 19: The Dirty Half Dozen</t>
  </si>
  <si>
    <t>⚠️ Watch Avengers: Age of Ultron after this episode!</t>
  </si>
  <si>
    <t xml:space="preserve">        ↳ Episode 20 Scars</t>
  </si>
  <si>
    <t>⚠️ Continues directly from Avengers: Age of Ultron.</t>
  </si>
  <si>
    <t xml:space="preserve">        ↳ Episode 21 S.O.S. Part 1</t>
  </si>
  <si>
    <t xml:space="preserve">        ↳ Episode 22 S.O.S. Part 2</t>
  </si>
  <si>
    <t>🎬 Agent Carter (Sep 2013)
[One Shot]</t>
  </si>
  <si>
    <t>0h 15m</t>
  </si>
  <si>
    <r>
      <t xml:space="preserve">Direct Prequel to </t>
    </r>
    <r>
      <rPr>
        <rFont val="Roboto"/>
        <i/>
        <color theme="1"/>
        <sz val="14.0"/>
      </rPr>
      <t>Agent Carter</t>
    </r>
    <r>
      <rPr>
        <rFont val="Roboto"/>
        <color theme="1"/>
        <sz val="14.0"/>
      </rPr>
      <t xml:space="preserve"> </t>
    </r>
    <r>
      <rPr>
        <rFont val="Roboto"/>
        <i/>
        <color theme="1"/>
        <sz val="14.0"/>
      </rPr>
      <t>S01 (2015)</t>
    </r>
    <r>
      <rPr>
        <rFont val="Roboto"/>
        <color theme="1"/>
        <sz val="14.0"/>
      </rPr>
      <t>, slotted here for better viewing experience.</t>
    </r>
  </si>
  <si>
    <t>📺 Agent Carter S01 (Jan - Feb 2015)</t>
  </si>
  <si>
    <t>✅ Ep 8</t>
  </si>
  <si>
    <t>5h 32m
(~0h 42m ea)</t>
  </si>
  <si>
    <t xml:space="preserve">        ↳ Episode 1: Now is Not the End</t>
  </si>
  <si>
    <t>0h 40m</t>
  </si>
  <si>
    <t xml:space="preserve">        ↳ Episode 2: Bridge and Tunnel</t>
  </si>
  <si>
    <t>0h 39m</t>
  </si>
  <si>
    <t xml:space="preserve">        ↳ Episode 3: Time and Tide</t>
  </si>
  <si>
    <t xml:space="preserve">        ↳ Episode 4: The Blitzkrieg Button</t>
  </si>
  <si>
    <t xml:space="preserve">        ↳ Episode 5: The Iron Ceiling</t>
  </si>
  <si>
    <t xml:space="preserve">        ↳ Episode 6: A Sin to Err</t>
  </si>
  <si>
    <t xml:space="preserve">        ↳ Episode 7 SNAFU</t>
  </si>
  <si>
    <t xml:space="preserve">        ↳ Episode 8: Valediction</t>
  </si>
  <si>
    <t>📺 Daredevil S01 (Apr 2015)</t>
  </si>
  <si>
    <t>11h 53m
(~0h 55m ea)</t>
  </si>
  <si>
    <t>MCU (Defenders Saga)
[Earth 616]</t>
  </si>
  <si>
    <r>
      <t xml:space="preserve">The first of the </t>
    </r>
    <r>
      <rPr>
        <rFont val="Roboto"/>
        <i/>
        <color theme="1"/>
        <sz val="14.0"/>
      </rPr>
      <t>Netflix Defenders Saga</t>
    </r>
    <r>
      <rPr>
        <rFont val="Roboto"/>
        <color theme="1"/>
        <sz val="14.0"/>
      </rPr>
      <t>.
These are officially confirmed cannon to the main timeline of the MCU.</t>
    </r>
  </si>
  <si>
    <t xml:space="preserve">        ↳ Episode 1: Into the Ring</t>
  </si>
  <si>
    <t>0h 53m</t>
  </si>
  <si>
    <t xml:space="preserve">        ↳ Episode 2: Cut Man</t>
  </si>
  <si>
    <t xml:space="preserve">        ↳ Episode 3: Rabbit in a Snowstorm</t>
  </si>
  <si>
    <t>0h 52m</t>
  </si>
  <si>
    <t xml:space="preserve">        ↳ Episode 4: In the Blood</t>
  </si>
  <si>
    <t xml:space="preserve">        ↳ Episode 5: World on Fire</t>
  </si>
  <si>
    <t>0h 56m</t>
  </si>
  <si>
    <t xml:space="preserve">        ↳ Episode 6: Condemned</t>
  </si>
  <si>
    <t>0h 48m</t>
  </si>
  <si>
    <t xml:space="preserve">        ↳ Episode 7 Stick</t>
  </si>
  <si>
    <t>0h 50m</t>
  </si>
  <si>
    <t xml:space="preserve">        ↳ Episode 8 Shadows in the Glass</t>
  </si>
  <si>
    <t xml:space="preserve">        ↳ Episode 9 Speak of the Devil</t>
  </si>
  <si>
    <t>0h 58m</t>
  </si>
  <si>
    <t xml:space="preserve">        ↳ Episode 10: Nelson v. Murdock</t>
  </si>
  <si>
    <t>0h 57m</t>
  </si>
  <si>
    <t xml:space="preserve">        ↳ Episode 11: The Path of the Righteous</t>
  </si>
  <si>
    <t>0h 59m</t>
  </si>
  <si>
    <t xml:space="preserve">        ↳ Episode 12: The Ones We Leave Behind</t>
  </si>
  <si>
    <t>1h 00m</t>
  </si>
  <si>
    <t xml:space="preserve">        ↳ Episode 13: Daredevil</t>
  </si>
  <si>
    <t>⭐🍿 Avengers: Age of Ultron (Apr 2015)</t>
  </si>
  <si>
    <t>2h 21m</t>
  </si>
  <si>
    <t>⭐🍿 Ant-Man (Jul 2015)</t>
  </si>
  <si>
    <t>⭕ Fantastic Four (Aug 2015)</t>
  </si>
  <si>
    <t>1h 40m</t>
  </si>
  <si>
    <t>Fant4stic Universe
[Earth 15866]</t>
  </si>
  <si>
    <t xml:space="preserve">
</t>
  </si>
  <si>
    <t>📺 Jessica Jones S01 (Nov 2015)</t>
  </si>
  <si>
    <t>11h 17m
(~0h 52m ea)</t>
  </si>
  <si>
    <t xml:space="preserve">        ↳ Episode 1: A.K.A. Ladies Night</t>
  </si>
  <si>
    <t xml:space="preserve">        ↳ Episode 2: A.K.A. Crush Syndrome</t>
  </si>
  <si>
    <t xml:space="preserve">        ↳ Episode 3: A.K.A. It's Called Whiskey</t>
  </si>
  <si>
    <t>0h 54m</t>
  </si>
  <si>
    <t xml:space="preserve">        ↳ Episode 4: A.K.A. 99 Friends</t>
  </si>
  <si>
    <t>0h 49m</t>
  </si>
  <si>
    <t xml:space="preserve">        ↳ Episode 5: A.K.A. The Sandwich Saved Me</t>
  </si>
  <si>
    <t xml:space="preserve">        ↳ Episode 6: A.K.A. You're a Winner!</t>
  </si>
  <si>
    <t xml:space="preserve">        ↳ Episode 7: A.K.A. Top Shelf Perverts</t>
  </si>
  <si>
    <t>0h 55m</t>
  </si>
  <si>
    <t xml:space="preserve">        ↳ Episode 8: A.K.A. WWJD?</t>
  </si>
  <si>
    <t xml:space="preserve">        ↳ Episode 9: A.K.A. Sin Bin</t>
  </si>
  <si>
    <t xml:space="preserve">        ↳ Episode 10: A.K.A. 1,000 Cuts</t>
  </si>
  <si>
    <t>0h 46m</t>
  </si>
  <si>
    <t xml:space="preserve">        ↳ Episode 11: A.K.A. I've Got the Blues</t>
  </si>
  <si>
    <t xml:space="preserve">        ↳ Episode 12: A.K.A. Take a Bloody Number</t>
  </si>
  <si>
    <t xml:space="preserve">        ↳ Episode 13: A.K.A. Smile</t>
  </si>
  <si>
    <t>📺 Agents of S.H.I.E.L.D. S03 (Sep 2015 - May 2016)</t>
  </si>
  <si>
    <t>15h 43m
(~0h 43m ea)</t>
  </si>
  <si>
    <t xml:space="preserve">        ↳ Episode 1: Laws of Nature</t>
  </si>
  <si>
    <t xml:space="preserve">        ↳ Episode 2: Purpose in the Machine</t>
  </si>
  <si>
    <t xml:space="preserve">        ↳ Episode 3: A Wanted (Inhu)man</t>
  </si>
  <si>
    <t xml:space="preserve">        ↳ Episode 4: Devils You Know</t>
  </si>
  <si>
    <t xml:space="preserve">        ↳ Episode 5: 4,722 Hours</t>
  </si>
  <si>
    <t xml:space="preserve">        ↳ Episode 6: Among Us Hide...</t>
  </si>
  <si>
    <t xml:space="preserve">        ↳ Episode 7: Chaos Theory</t>
  </si>
  <si>
    <t xml:space="preserve">        ↳ Episode 8: Many Heads, One Tale</t>
  </si>
  <si>
    <t xml:space="preserve">        ↳ Episode 9: Closure</t>
  </si>
  <si>
    <t xml:space="preserve">        ↳ Episode 10: Maveth</t>
  </si>
  <si>
    <t xml:space="preserve">        ↳ Episode 11: Bouncing Back</t>
  </si>
  <si>
    <t xml:space="preserve">        ↳ Episode 12: The Inside Man</t>
  </si>
  <si>
    <t xml:space="preserve">        ↳ Episode 13: Parting Shot</t>
  </si>
  <si>
    <t xml:space="preserve">        ↳ Episode 14: Watchdogs</t>
  </si>
  <si>
    <t xml:space="preserve">        ↳ Episode 15 Spacetime</t>
  </si>
  <si>
    <t xml:space="preserve">        ↳ Episode 16: Paradise Lost</t>
  </si>
  <si>
    <t xml:space="preserve">        ↳ Episode 17: The Team</t>
  </si>
  <si>
    <t xml:space="preserve">        ↳ Episode 18: The Singularity</t>
  </si>
  <si>
    <t xml:space="preserve">        ↳ Episode 19: Failed Experiments</t>
  </si>
  <si>
    <t>⚠️Watch Captain America: Civil War after this episode!</t>
  </si>
  <si>
    <t xml:space="preserve">        ↳ Episode 20: Emancipation</t>
  </si>
  <si>
    <t>⚠️Continues directly from Captain America: Civil War.</t>
  </si>
  <si>
    <t xml:space="preserve">        ↳ Episode 21: Absolution</t>
  </si>
  <si>
    <t xml:space="preserve">        ↳ Episode 22: Ascension</t>
  </si>
  <si>
    <t xml:space="preserve">📺 Agent Carter S02 (Jan - Feb 2016)                             </t>
  </si>
  <si>
    <t>6h 50m
(~0h 41m ea)</t>
  </si>
  <si>
    <t>Ends on cliff hanger, but sadly S03 was cancelled.</t>
  </si>
  <si>
    <t xml:space="preserve">        ↳ Episode 1: The Lady in the Lake</t>
  </si>
  <si>
    <t>0h 41m</t>
  </si>
  <si>
    <t xml:space="preserve">        ↳ Episode 2: A View in the Dark</t>
  </si>
  <si>
    <t xml:space="preserve">        ↳ Episode 3: Better Angels</t>
  </si>
  <si>
    <t xml:space="preserve">        ↳ Episode 4 Smoke &amp; Mirrors</t>
  </si>
  <si>
    <t xml:space="preserve">        ↳ Episode 5: The Atomic Job</t>
  </si>
  <si>
    <t xml:space="preserve">        ↳ Episode 6: Life of the Party</t>
  </si>
  <si>
    <t xml:space="preserve">        ↳ Episode 7: Monsters</t>
  </si>
  <si>
    <t xml:space="preserve">        ↳ Episode 8: The Edge of Mystery</t>
  </si>
  <si>
    <t xml:space="preserve">        ↳ Episode 9: A Little Song and Dance</t>
  </si>
  <si>
    <t xml:space="preserve">        ↳ Episode 10: Hollywood Ending</t>
  </si>
  <si>
    <t>⭐⭕ Deadpool (Feb 2016)</t>
  </si>
  <si>
    <t>1h 48m</t>
  </si>
  <si>
    <t>Foxverse (Revised)
[Earth 10005]</t>
  </si>
  <si>
    <t>📺 Daredevil S02 (Mar 2016)</t>
  </si>
  <si>
    <t>13h 05m
(~1h 00m ea)</t>
  </si>
  <si>
    <t xml:space="preserve">        ↳ Episode 1: Bang</t>
  </si>
  <si>
    <t>0h 51m</t>
  </si>
  <si>
    <t xml:space="preserve">        ↳ Episode 2: Dogs to a Gunfight</t>
  </si>
  <si>
    <t xml:space="preserve">        ↳ Episode 3: New York's Finest</t>
  </si>
  <si>
    <t xml:space="preserve">        ↳ Episode 4: Penny and Dime</t>
  </si>
  <si>
    <t>1h 01m</t>
  </si>
  <si>
    <t xml:space="preserve">        ↳ Episode 5: Kinbaku</t>
  </si>
  <si>
    <t xml:space="preserve">        ↳ Episode 6: Regrets Only</t>
  </si>
  <si>
    <t xml:space="preserve">        ↳ Episode 7 Semper Fidelis</t>
  </si>
  <si>
    <t xml:space="preserve">        ↳ Episode 8: Guilty as Sin</t>
  </si>
  <si>
    <t>1h 03m</t>
  </si>
  <si>
    <t xml:space="preserve">        ↳ Episode 9 Seven Minutes in Heaven</t>
  </si>
  <si>
    <t>1h 02m</t>
  </si>
  <si>
    <t xml:space="preserve">        ↳ Episode 10: The Man in the Box</t>
  </si>
  <si>
    <t xml:space="preserve">        ↳ Episode 11: .380</t>
  </si>
  <si>
    <t xml:space="preserve">        ↳ Episode 12: The Dark at the End of the Tunnel</t>
  </si>
  <si>
    <t xml:space="preserve">        ↳ Episode 13: A Cold Day in Hell's Kitchen</t>
  </si>
  <si>
    <t xml:space="preserve">    THE INFINITY SAGA—
    PHASE 3: INFINITY</t>
  </si>
  <si>
    <t>⭐🍿 Captain America: Civil War (Apr 2016)</t>
  </si>
  <si>
    <t>2h 27m</t>
  </si>
  <si>
    <t>Phase 3 Completion:</t>
  </si>
  <si>
    <t>⭕ X-Men Apocalypse (May 2016)</t>
  </si>
  <si>
    <t>2h 24m</t>
  </si>
  <si>
    <t>Foxverse (Revised) / (X-Men Prequels)
[Earth 10005]</t>
  </si>
  <si>
    <t>Phase 3 Skipped:</t>
  </si>
  <si>
    <t>🎬 Team Thor: Part 1 (Aug 2016)
[One Shot]</t>
  </si>
  <si>
    <t>📺 Luke Cage S01 (Sep 2016)</t>
  </si>
  <si>
    <t>11h 56m
(~0h 55m ea)</t>
  </si>
  <si>
    <t xml:space="preserve">        ↳ Episode 1: Moment of Truth</t>
  </si>
  <si>
    <t>1h 05m</t>
  </si>
  <si>
    <t xml:space="preserve">        ↳ Episode 2: Code of the Streets</t>
  </si>
  <si>
    <t xml:space="preserve">        ↳ Episode 3: Who's Gonna Take the Weight?</t>
  </si>
  <si>
    <t xml:space="preserve">        ↳ Episode 4 Step in the Arena</t>
  </si>
  <si>
    <t xml:space="preserve">        ↳ Episode 5: Just to Get a Rep</t>
  </si>
  <si>
    <t xml:space="preserve">        ↳ Episode 6 Suckas Need Bodyguards</t>
  </si>
  <si>
    <t xml:space="preserve">        ↳ Episode 7: Manifest</t>
  </si>
  <si>
    <t xml:space="preserve">        ↳ Episode 8: Blowin' Up the Spot</t>
  </si>
  <si>
    <t xml:space="preserve">        ↳ Episode 9: DWYCK</t>
  </si>
  <si>
    <t xml:space="preserve">        ↳ Episode 10: Take It Personal</t>
  </si>
  <si>
    <t xml:space="preserve">        ↳ Episode 11: Now You're Mine</t>
  </si>
  <si>
    <t xml:space="preserve">        ↳ Episode 12 Soliloquy of Chaos</t>
  </si>
  <si>
    <t xml:space="preserve">        ↳ Episode 13: You Know My Steez</t>
  </si>
  <si>
    <t>⭐🍿 Doctor Strange (Oct 2016)</t>
  </si>
  <si>
    <t>📺 Agents of S.H.I.E.L.D. S04 (Sep 2016 – May 2017)</t>
  </si>
  <si>
    <t xml:space="preserve">        ↳ Episode 1: The Ghost</t>
  </si>
  <si>
    <t xml:space="preserve">        ↳ Episode 2: Meet the New Boss</t>
  </si>
  <si>
    <t xml:space="preserve">        ↳ Episode 3: Uprising</t>
  </si>
  <si>
    <t xml:space="preserve">        ↳ Episode 4: Let Me Stand Next to Your Fire</t>
  </si>
  <si>
    <t xml:space="preserve">        ↳ Episode 5: Lockup</t>
  </si>
  <si>
    <t xml:space="preserve">        ↳ Episode 6: The Good Samaritan</t>
  </si>
  <si>
    <t xml:space="preserve">        ↳ Episode 7: Deals with Our Devils</t>
  </si>
  <si>
    <t xml:space="preserve">        ↳ Episode 8: The Laws of Inferno Dynamics</t>
  </si>
  <si>
    <t xml:space="preserve">        ↳ Episode 9: Broken Promises</t>
  </si>
  <si>
    <t xml:space="preserve">        ↳ Episode 10: The Patriot</t>
  </si>
  <si>
    <t xml:space="preserve">        ↳ Episode 11: Wake Up</t>
  </si>
  <si>
    <t xml:space="preserve">        ↳ Episode 12: Hot Potato Soup</t>
  </si>
  <si>
    <t xml:space="preserve">        ↳ Episode 13: BOOM</t>
  </si>
  <si>
    <t xml:space="preserve">        ↳ Episode 14: The Man Behind the Shield</t>
  </si>
  <si>
    <t xml:space="preserve">        ↳ Episode 15 Self Control</t>
  </si>
  <si>
    <t xml:space="preserve">        ↳ Episode 16: What If...</t>
  </si>
  <si>
    <t xml:space="preserve">        ↳ Episode 17: Identity and Change</t>
  </si>
  <si>
    <t xml:space="preserve">        ↳ Episode 18: No Regrets</t>
  </si>
  <si>
    <t xml:space="preserve">        ↳ Episode 19: All the Madame's Men</t>
  </si>
  <si>
    <t xml:space="preserve">        ↳ Episode 20: Farewell, Cruel World!</t>
  </si>
  <si>
    <t xml:space="preserve">        ↳ Episode 21: The Return</t>
  </si>
  <si>
    <t xml:space="preserve">        ↳ Episode 22: World’s End</t>
  </si>
  <si>
    <t>MCU (AoS) / MCU Earth destroyed (AoS)
[Earth 616] / [Earth-17516]</t>
  </si>
  <si>
    <t>Includes a future setting designated Earth-17516.</t>
  </si>
  <si>
    <t>🎬 Agents of S.H.I.E.L.D. Slingshot (Dec 2016)
[Web series]</t>
  </si>
  <si>
    <t>0h 22m
(~0h 04m ea)</t>
  </si>
  <si>
    <t xml:space="preserve">Short 3-6 minute web episodes. </t>
  </si>
  <si>
    <t xml:space="preserve">        ↳ Episode 1: Vendetta</t>
  </si>
  <si>
    <t xml:space="preserve">        ↳ Episode 2: John Hancock</t>
  </si>
  <si>
    <t>0h 03m</t>
  </si>
  <si>
    <t xml:space="preserve">        ↳ Episode 3: Progress</t>
  </si>
  <si>
    <t xml:space="preserve">        ↳ Episode 4: Reunion</t>
  </si>
  <si>
    <t xml:space="preserve">        ↳ Episode 5: Deal Breaker</t>
  </si>
  <si>
    <t xml:space="preserve">        ↳ Episode 6: Justicia</t>
  </si>
  <si>
    <t>0h 05m</t>
  </si>
  <si>
    <t>🎬 Team Thor: Part 2 (Feb 2017)
[One Shot]</t>
  </si>
  <si>
    <t>⭕🎬 No Good Deed (Mar 2017)
[Short Film]</t>
  </si>
  <si>
    <r>
      <rPr>
        <rFont val="Roboto"/>
        <b/>
        <sz val="14.0"/>
      </rPr>
      <t xml:space="preserve">WATCH </t>
    </r>
    <r>
      <rPr>
        <rFont val="Roboto"/>
        <b/>
        <color rgb="FF1155CC"/>
        <sz val="14.0"/>
        <u/>
      </rPr>
      <t>HERE</t>
    </r>
    <r>
      <rPr>
        <rFont val="Roboto"/>
        <b/>
        <sz val="14.0"/>
      </rPr>
      <t>.</t>
    </r>
  </si>
  <si>
    <t>⭐🍿 Guardians of the Galaxy Vol. 2 (May 2017)</t>
  </si>
  <si>
    <t>⭕📺 Legion S01 (Feb - Mar 2017)</t>
  </si>
  <si>
    <t>7h 16m
(~0h 55m ea)</t>
  </si>
  <si>
    <t>Legion Universe
[Earth 17040]</t>
  </si>
  <si>
    <r>
      <t xml:space="preserve">X-Men Show Focuses on </t>
    </r>
    <r>
      <rPr>
        <rFont val="Roboto"/>
        <i/>
        <color theme="1"/>
        <sz val="13.0"/>
      </rPr>
      <t>Charles Xavier's</t>
    </r>
    <r>
      <rPr>
        <rFont val="Roboto"/>
        <color theme="1"/>
        <sz val="13.0"/>
      </rPr>
      <t xml:space="preserve"> Son.
Adjacent but not connected to any of the main Foxverses.</t>
    </r>
  </si>
  <si>
    <t xml:space="preserve">        ↳ Episode 1: Chapter 1</t>
  </si>
  <si>
    <t>1h 08m</t>
  </si>
  <si>
    <t xml:space="preserve">        ↳ Episode 2: Chapter 2</t>
  </si>
  <si>
    <t xml:space="preserve">        ↳ Episode 3: Chapter 3</t>
  </si>
  <si>
    <t xml:space="preserve">        ↳ Episode 4: Chapter 4</t>
  </si>
  <si>
    <t xml:space="preserve">        ↳ Episode 5: Chapter 5</t>
  </si>
  <si>
    <t xml:space="preserve">        ↳ Episode 6: Chapter 6</t>
  </si>
  <si>
    <t xml:space="preserve">        ↳ Episode 7: Chapter 7</t>
  </si>
  <si>
    <t xml:space="preserve">        ↳ Episode 8: Chapter 8</t>
  </si>
  <si>
    <t>📺 Iron Fist S01 (Mar 2017)</t>
  </si>
  <si>
    <t xml:space="preserve">        ↳ Episode 1 Snow Gives Way</t>
  </si>
  <si>
    <t xml:space="preserve">        ↳ Episode 2 Shadow Hawk Takes Flight</t>
  </si>
  <si>
    <t xml:space="preserve">        ↳ Episode 3: Rolling Thunder Cannon Punch</t>
  </si>
  <si>
    <t xml:space="preserve">        ↳ Episode 4: Eight Diagram Dragon Palm</t>
  </si>
  <si>
    <t xml:space="preserve">        ↳ Episode 5: Under Leaf Pluck Lotus</t>
  </si>
  <si>
    <t xml:space="preserve">        ↳ Episode 6: Immortal Emerges from Cave</t>
  </si>
  <si>
    <t xml:space="preserve">        ↳ Episode 7: Felling Tree with Roots</t>
  </si>
  <si>
    <t xml:space="preserve">        ↳ Episode 8: The Blessing of Many Fractures</t>
  </si>
  <si>
    <t xml:space="preserve">        ↳ Episode 9: The Mistress of All Agonies</t>
  </si>
  <si>
    <t xml:space="preserve">        ↳ Episode 10: Black Tiger Steals Heart</t>
  </si>
  <si>
    <t xml:space="preserve">        ↳ Episode 11: Lead Horse Back to Stable</t>
  </si>
  <si>
    <t xml:space="preserve">        ↳ Episode 12: Bar the Big Boss</t>
  </si>
  <si>
    <t xml:space="preserve">        ↳ Episode 13: Dragon Plays with Fire</t>
  </si>
  <si>
    <t>⭐⭕ Logan (Mar 2017)</t>
  </si>
  <si>
    <t>2h 17m</t>
  </si>
  <si>
    <t>Foxverse (Possible Future) (Wolverine Trilogy)
[Earth 17315 / 10005*PF*]</t>
  </si>
  <si>
    <r>
      <rPr>
        <rFont val="Roboto"/>
        <color theme="1"/>
        <sz val="14.0"/>
      </rPr>
      <t xml:space="preserve">Universe is unconfirmed.
Some say </t>
    </r>
    <r>
      <rPr>
        <rFont val="Roboto"/>
        <i/>
        <color theme="1"/>
        <sz val="14.0"/>
      </rPr>
      <t>Earth-17315</t>
    </r>
    <r>
      <rPr>
        <rFont val="Roboto"/>
        <color theme="1"/>
        <sz val="14.0"/>
      </rPr>
      <t xml:space="preserve">, but it's likely just set in the future of the revised Foxverse, </t>
    </r>
    <r>
      <rPr>
        <rFont val="Roboto"/>
        <i/>
        <color theme="1"/>
        <sz val="14.0"/>
      </rPr>
      <t>Earth-10005</t>
    </r>
    <r>
      <rPr>
        <rFont val="Roboto"/>
        <color theme="1"/>
        <sz val="14.0"/>
      </rPr>
      <t>.</t>
    </r>
  </si>
  <si>
    <t>🍿 Spider-Man: Homecoming (Jul 2017)</t>
  </si>
  <si>
    <t>⭐📺 The Defenders S01 (Aug 2017)</t>
  </si>
  <si>
    <t>6h 44m
(~0h 51m ea)</t>
  </si>
  <si>
    <r>
      <t xml:space="preserve">Ties together the </t>
    </r>
    <r>
      <rPr>
        <rFont val="Roboto"/>
        <i/>
        <color theme="1"/>
        <sz val="14.0"/>
      </rPr>
      <t>Netflix Defenders Series</t>
    </r>
    <r>
      <rPr>
        <rFont val="Roboto"/>
        <color theme="1"/>
        <sz val="14.0"/>
      </rPr>
      <t>'.</t>
    </r>
  </si>
  <si>
    <t xml:space="preserve">        ↳ Episode 1: The H Word</t>
  </si>
  <si>
    <t xml:space="preserve">        ↳ Episode 2: Mean Right Hook</t>
  </si>
  <si>
    <t xml:space="preserve">        ↳ Episode 3: Worst Behavior</t>
  </si>
  <si>
    <t>0h 47m</t>
  </si>
  <si>
    <t xml:space="preserve">        ↳ Episode 4: Royal Dragon</t>
  </si>
  <si>
    <t xml:space="preserve">        ↳ Episode 5: Take Shelter</t>
  </si>
  <si>
    <t xml:space="preserve">        ↳ Episode 6: Ashes, Ashes</t>
  </si>
  <si>
    <t xml:space="preserve">        ↳ Episode 7: Fish in the Jailhouse</t>
  </si>
  <si>
    <t xml:space="preserve">        ↳ Episode 8: The Defenders</t>
  </si>
  <si>
    <t>1h 13m</t>
  </si>
  <si>
    <t>📺 Inhumans S01 (Sep - Nov 2017)</t>
  </si>
  <si>
    <t>5h 41m
(~0h 43m ea)</t>
  </si>
  <si>
    <r>
      <t xml:space="preserve">First featured in </t>
    </r>
    <r>
      <rPr>
        <rFont val="Roboto"/>
        <i/>
        <color theme="1"/>
        <sz val="14.0"/>
      </rPr>
      <t>Agents of SHIELD</t>
    </r>
    <r>
      <rPr>
        <rFont val="Roboto"/>
        <color theme="1"/>
        <sz val="14.0"/>
      </rPr>
      <t>, safe to assume they are set in the same universe, though not confirmed.</t>
    </r>
  </si>
  <si>
    <t xml:space="preserve">        ↳ Episode 1: Behold... The Inhumans!</t>
  </si>
  <si>
    <t>Originally released as IMAX feature</t>
  </si>
  <si>
    <t xml:space="preserve">        ↳ Episode 2: Those Who Would Destroy Us</t>
  </si>
  <si>
    <t xml:space="preserve">        ↳ Episode 3: Divide and Conquer</t>
  </si>
  <si>
    <t xml:space="preserve">        ↳ Episode 4: Make Way for... Medusa</t>
  </si>
  <si>
    <t xml:space="preserve">        ↳ Episode 5 Something Inhuman This Way Comes...</t>
  </si>
  <si>
    <t xml:space="preserve">        ↳ Episode 6: The Gentleman's Name Is Gorgon</t>
  </si>
  <si>
    <t xml:space="preserve">        ↳ Episode 7: Havoc in the Hidden Land</t>
  </si>
  <si>
    <t xml:space="preserve">        ↳ Episode 8: ...And Finally: Black Bolt</t>
  </si>
  <si>
    <t>⭐🍿 Thor: Ragnarok (Oct 2017)</t>
  </si>
  <si>
    <t>2h 10m</t>
  </si>
  <si>
    <t>📺 Agents of S.H.I.E.L.D. S05 (Dec 2017 - May 2018)</t>
  </si>
  <si>
    <t>15h 45m
(~0h 43m ea)</t>
  </si>
  <si>
    <t>This is where the AoS timeline starts to get confusing and complicated. Many fans still debate whether it remains canon at all.</t>
  </si>
  <si>
    <t xml:space="preserve">        ↳ Episode 1: Orientation (Part 1)</t>
  </si>
  <si>
    <t xml:space="preserve">        ↳ Episode 2: Orientation (Part 2)</t>
  </si>
  <si>
    <t>MCU Earth destroyed (AoS)
[Earth-17516]</t>
  </si>
  <si>
    <t xml:space="preserve">        ↳ Episode 3: A Life Spent</t>
  </si>
  <si>
    <t xml:space="preserve">        ↳ Episode 4: A Life Earned</t>
  </si>
  <si>
    <t xml:space="preserve">        ↳ Episode 5: Rewind</t>
  </si>
  <si>
    <t xml:space="preserve">        ↳ Episode 6: Fun &amp; Games</t>
  </si>
  <si>
    <t xml:space="preserve">        ↳ Episode 7: Together or Not at All</t>
  </si>
  <si>
    <t xml:space="preserve">        ↳ Episode 8: The Last Day</t>
  </si>
  <si>
    <t xml:space="preserve">        ↳ Episode 9: Best Laid Plans</t>
  </si>
  <si>
    <t xml:space="preserve">        ↳ Episode 10: Past Life</t>
  </si>
  <si>
    <t xml:space="preserve">        ↳ Episode 11: All the Comforts of Home</t>
  </si>
  <si>
    <t xml:space="preserve">        ↳ Episode 12: The Real Deal</t>
  </si>
  <si>
    <t xml:space="preserve">        ↳ Episode 13: Principia</t>
  </si>
  <si>
    <t xml:space="preserve">        ↳ Episode 14: The Devil Complex</t>
  </si>
  <si>
    <t xml:space="preserve">        ↳ Episode 15: Rise and Shine</t>
  </si>
  <si>
    <t xml:space="preserve">        ↳ Episode 16: Inside Voices</t>
  </si>
  <si>
    <t xml:space="preserve">        ↳ Episode 17: The Honeymoon</t>
  </si>
  <si>
    <t xml:space="preserve">        ↳ Episode 18: All Roads Lead…</t>
  </si>
  <si>
    <t xml:space="preserve">        ↳ Episode 19: Option Two</t>
  </si>
  <si>
    <t xml:space="preserve">        ↳ Episode 20: The One Who Will Save Us All</t>
  </si>
  <si>
    <t xml:space="preserve">        ↳ Episode 21: The Force of Gravity</t>
  </si>
  <si>
    <t xml:space="preserve">        ↳ Episode 22: The End</t>
  </si>
  <si>
    <t>Events here affect the future timeline established earlier in the season.</t>
  </si>
  <si>
    <t>🎬 Team Darryl (Team Thor Part 3) (Feb 2018)
[One Shot]</t>
  </si>
  <si>
    <t>0h 06m</t>
  </si>
  <si>
    <t>⭕📺 The Gifted S01 (Oct 2017 - Jan 2018)</t>
  </si>
  <si>
    <t>✅ Ep 1, 13</t>
  </si>
  <si>
    <t>9h 21m
(~0h 43m ea)</t>
  </si>
  <si>
    <t>The Gifted Universe
[Earth 17372]</t>
  </si>
  <si>
    <t>Adjacent but not apart of the main Foxverse.</t>
  </si>
  <si>
    <t xml:space="preserve">        ↳ Episode 1: eXposed</t>
  </si>
  <si>
    <t xml:space="preserve">        ↳ Episode 2: rX</t>
  </si>
  <si>
    <t xml:space="preserve">        ↳ Episode 3: eXodus</t>
  </si>
  <si>
    <t xml:space="preserve">        ↳ Episode 4: eXit strategy</t>
  </si>
  <si>
    <t xml:space="preserve">        ↳ Episode 5: boXed in</t>
  </si>
  <si>
    <t xml:space="preserve">        ↳ Episode 6: got your siX</t>
  </si>
  <si>
    <t xml:space="preserve">        ↳ Episode 7: eXtreme measures</t>
  </si>
  <si>
    <t xml:space="preserve">        ↳ Episode 8: threat of eXtinction</t>
  </si>
  <si>
    <t xml:space="preserve">        ↳ Episode 9: outfoX</t>
  </si>
  <si>
    <t xml:space="preserve">        ↳ Episode 10: eXploited</t>
  </si>
  <si>
    <t xml:space="preserve">        ↳ Episode 11: 3 X 1</t>
  </si>
  <si>
    <t xml:space="preserve">        ↳ Episode 12: eXtraction</t>
  </si>
  <si>
    <t xml:space="preserve">        ↳ Episode 13: X-roads</t>
  </si>
  <si>
    <t>📺 The Punisher S01 (Nov 2017)</t>
  </si>
  <si>
    <t>11h 29m
(~0h 53m ea)</t>
  </si>
  <si>
    <t xml:space="preserve">        ↳ Episode 1: 3 A.M.</t>
  </si>
  <si>
    <t xml:space="preserve">        ↳ Episode 2: Two Dead Men</t>
  </si>
  <si>
    <t xml:space="preserve">        ↳ Episode 3: Kandahar</t>
  </si>
  <si>
    <t xml:space="preserve">        ↳ Episode 4: Resupply</t>
  </si>
  <si>
    <t xml:space="preserve">        ↳ Episode 5: Gunner</t>
  </si>
  <si>
    <t xml:space="preserve">        ↳ Episode 6: The Judas Goat</t>
  </si>
  <si>
    <t xml:space="preserve">        ↳ Episode 7: Crosshairs</t>
  </si>
  <si>
    <t xml:space="preserve">        ↳ Episode 8: Cold Steel</t>
  </si>
  <si>
    <t xml:space="preserve">        ↳ Episode 9: Front Toward Enemy</t>
  </si>
  <si>
    <t xml:space="preserve">        ↳ Episode 10: Virtue of the Vicious</t>
  </si>
  <si>
    <t xml:space="preserve">        ↳ Episode 11: Danger Close</t>
  </si>
  <si>
    <t xml:space="preserve">        ↳ Episode 12: Home</t>
  </si>
  <si>
    <t xml:space="preserve">        ↳ Episode 13: Memento Mori</t>
  </si>
  <si>
    <t>📺 Runaways S01 (Nov 2017 - Jan 2018)</t>
  </si>
  <si>
    <t>8h 15m
(~0h 50m ea)</t>
  </si>
  <si>
    <t xml:space="preserve">        ↳ Episode 1: Reunion</t>
  </si>
  <si>
    <t xml:space="preserve">        ↳ Episode 2: Rewind</t>
  </si>
  <si>
    <t xml:space="preserve">        ↳ Episode 3: Destiny</t>
  </si>
  <si>
    <t xml:space="preserve">        ↳ Episode 4: Fifteen</t>
  </si>
  <si>
    <t xml:space="preserve">        ↳ Episode 5: Kingdom</t>
  </si>
  <si>
    <t xml:space="preserve">        ↳ Episode 6: Metamorphosis</t>
  </si>
  <si>
    <t xml:space="preserve">        ↳ Episode 7: Refraction</t>
  </si>
  <si>
    <t xml:space="preserve">        ↳ Episode 8: Tsunami</t>
  </si>
  <si>
    <t xml:space="preserve">        ↳ Episode 9: Doomsday</t>
  </si>
  <si>
    <t xml:space="preserve">        ↳ Episode 10: Hostile</t>
  </si>
  <si>
    <t>🍿 Black Panther (Feb 2018)</t>
  </si>
  <si>
    <t>📺 Jessica Jones S02 (Mar 2018)</t>
  </si>
  <si>
    <t>11h 22m
(~0h 52m ea)</t>
  </si>
  <si>
    <t>        ↳ Episode 1: AKA Start at the Beginning</t>
  </si>
  <si>
    <t>        ↳ Episode 2: AKA Freak Accident</t>
  </si>
  <si>
    <t>        ↳ Episode 3: AKA Sole Survivor</t>
  </si>
  <si>
    <t>        ↳ Episode 4: AKA God Help the Hobo</t>
  </si>
  <si>
    <t>        ↳ Episode 5: AKA The Octopus</t>
  </si>
  <si>
    <t>        ↳ Episode 6: AKA Facetime</t>
  </si>
  <si>
    <t>        ↳ Episode 7: AKA I Want Your Cray Cray</t>
  </si>
  <si>
    <t>        ↳ Episode 8: AKA Ain't We Got Fun</t>
  </si>
  <si>
    <t>        ↳ Episode 9: AKA Shark in the Bathtub, Monster in the Bed</t>
  </si>
  <si>
    <t>        ↳ Episode 10: AKA Pork Chop</t>
  </si>
  <si>
    <t>        ↳ Episode 11: AKA Three Lives and Counting</t>
  </si>
  <si>
    <t>        ↳ Episode 12: AKA Pray For My Patsy</t>
  </si>
  <si>
    <t>        ↳ Episode 13: AKA Playland</t>
  </si>
  <si>
    <t>⭐⭐🍿 AVENGERS: INFINITY WAR (Apr 2018) ⭐⭐</t>
  </si>
  <si>
    <t>2h 29m</t>
  </si>
  <si>
    <t>ARE YOU READY?!?</t>
  </si>
  <si>
    <t>⭕📺 Legion S02 (Apr - Jun 2018)</t>
  </si>
  <si>
    <t>✅ Ep 11</t>
  </si>
  <si>
    <t>9h 00m
(~0h 49m ea)</t>
  </si>
  <si>
    <t xml:space="preserve">        ↳ Episode 1: Chapter 9</t>
  </si>
  <si>
    <t xml:space="preserve">        ↳ Episode 2: Chapter 10</t>
  </si>
  <si>
    <t xml:space="preserve">        ↳ Episode 3: Chapter 11</t>
  </si>
  <si>
    <t xml:space="preserve">        ↳ Episode 4: Chapter 12</t>
  </si>
  <si>
    <t xml:space="preserve">        ↳ Episode 5: Chapter 13</t>
  </si>
  <si>
    <t xml:space="preserve">        ↳ Episode 6: Chapter 14</t>
  </si>
  <si>
    <t xml:space="preserve">        ↳ Episode 7: Chapter 15</t>
  </si>
  <si>
    <t xml:space="preserve">        ↳ Episode 8: Chapter 16</t>
  </si>
  <si>
    <t xml:space="preserve">        ↳ Episode 9: Chapter 17</t>
  </si>
  <si>
    <t xml:space="preserve">        ↳ Episode 10: Chapter 18</t>
  </si>
  <si>
    <t xml:space="preserve">        ↳ Episode 11: Chapter 19</t>
  </si>
  <si>
    <t>⭕ Deadpool 2 (May 2018)</t>
  </si>
  <si>
    <t>1h 59m</t>
  </si>
  <si>
    <t>Foxverse (Revised) (Deadpool)
[Earth 10005 -&gt; Earth 41633]</t>
  </si>
  <si>
    <r>
      <rPr>
        <rFont val="Roboto"/>
        <i/>
        <color theme="1"/>
        <sz val="14.0"/>
      </rPr>
      <t>Once Upon a Deadpool (2018)</t>
    </r>
    <r>
      <rPr>
        <rFont val="Roboto"/>
        <color theme="1"/>
        <sz val="14.0"/>
      </rPr>
      <t>, is a PG-13 recut of the movie. It's a toned-down version with additional scenes. Also, it was a cancer charity project!</t>
    </r>
  </si>
  <si>
    <t>📺 Cloak &amp; Dagger S01 (Jun - Aug 2018)</t>
  </si>
  <si>
    <t>✅ Ep 10</t>
  </si>
  <si>
    <t>7h 16m
(~0h 44m ea)</t>
  </si>
  <si>
    <t xml:space="preserve">        ↳ Episode 1: First Light</t>
  </si>
  <si>
    <t xml:space="preserve">        ↳ Episode 2 Suicide Sprints</t>
  </si>
  <si>
    <t xml:space="preserve">        ↳ Episode 3 Stained Glass</t>
  </si>
  <si>
    <t xml:space="preserve">        ↳ Episode 4: Call/Response</t>
  </si>
  <si>
    <t xml:space="preserve">        ↳ Episode 5: Princeton Offense</t>
  </si>
  <si>
    <t xml:space="preserve">        ↳ Episode 6: Funhouse Mirrors</t>
  </si>
  <si>
    <t xml:space="preserve">        ↳ Episode 7: Lotus Eaters</t>
  </si>
  <si>
    <t xml:space="preserve">        ↳ Episode 8: Ghost Stories</t>
  </si>
  <si>
    <t xml:space="preserve">        ↳ Episode 9: Back Breaker</t>
  </si>
  <si>
    <t xml:space="preserve">        ↳ Episode 10: Colony Collapse</t>
  </si>
  <si>
    <t>Post-credits teaser for S02</t>
  </si>
  <si>
    <t>📺 Luke Cage S02 (Jun 2018)</t>
  </si>
  <si>
    <t>12h 45m
(~0h 59m ea)</t>
  </si>
  <si>
    <t xml:space="preserve">        ↳ Episode 1 Soul Brother #1</t>
  </si>
  <si>
    <t xml:space="preserve">        ↳ Episode 2 Straighten It Out</t>
  </si>
  <si>
    <t xml:space="preserve">        ↳ Episode 3: Wig Out</t>
  </si>
  <si>
    <t xml:space="preserve">        ↳ Episode 4: I Get Physical</t>
  </si>
  <si>
    <t xml:space="preserve">        ↳ Episode 5: All Souled Out</t>
  </si>
  <si>
    <t xml:space="preserve">        ↳ Episode 6: The Basement</t>
  </si>
  <si>
    <t xml:space="preserve">        ↳ Episode 7: On and On</t>
  </si>
  <si>
    <t xml:space="preserve">        ↳ Episode 8: If It Ain’t Rough, It Ain’t Right</t>
  </si>
  <si>
    <t xml:space="preserve">        ↳ Episode 9: For Pete’s Sake</t>
  </si>
  <si>
    <t xml:space="preserve">        ↳ Episode 10: The Main Ingredient</t>
  </si>
  <si>
    <t xml:space="preserve">        ↳ Episode 11: The Creator</t>
  </si>
  <si>
    <t xml:space="preserve">        ↳ Episode 12: Can’t Front on Me</t>
  </si>
  <si>
    <t xml:space="preserve">        ↳ Episode 13: They Reminisce Over You</t>
  </si>
  <si>
    <t>1h 10m</t>
  </si>
  <si>
    <t>⭐🍿 Ant-Man and the Wasp (Jul 2018)</t>
  </si>
  <si>
    <t>1h 58m</t>
  </si>
  <si>
    <t>📺 Iron Fist S02 (Sep 2018)</t>
  </si>
  <si>
    <t>8h 22m
(~0h 50m ea)</t>
  </si>
  <si>
    <t xml:space="preserve">        ↳ Episode 1: The Fury of Iron Fist</t>
  </si>
  <si>
    <t>        ↳ Episode 2: The City's Not for Burning</t>
  </si>
  <si>
    <t>        ↳ Episode 3: This Deadly Secret</t>
  </si>
  <si>
    <t>        ↳ Episode 4: Target: Iron Fist</t>
  </si>
  <si>
    <t>        ↳ Episode 5: Heart of the Dragon</t>
  </si>
  <si>
    <t>        ↳ Episode 6: The Dragon Dies at Dawn</t>
  </si>
  <si>
    <t>        ↳ Episode 7: Morning of the Mindstorm</t>
  </si>
  <si>
    <t>        ↳ Episode 8: Citadel on the Edge of Vengeance</t>
  </si>
  <si>
    <t>        ↳ Episode 9: War Without End</t>
  </si>
  <si>
    <t>        ↳ Episode 10: A Duel of Iron</t>
  </si>
  <si>
    <t>⭕📺 The Gifted S02 (Sep 2018 - Feb 2019)</t>
  </si>
  <si>
    <t>11h 20m
(~0h 43m ea)</t>
  </si>
  <si>
    <t>S03 was cancelled. 😞</t>
  </si>
  <si>
    <t xml:space="preserve">        ↳ Episode 1: eMergence</t>
  </si>
  <si>
    <t xml:space="preserve">        ↳ Episode 2: unMoored</t>
  </si>
  <si>
    <t xml:space="preserve">        ↳ Episode 3: coMplications</t>
  </si>
  <si>
    <t xml:space="preserve">        ↳ Episode 4: outMatched</t>
  </si>
  <si>
    <t xml:space="preserve">        ↳ Episode 5: afterMath</t>
  </si>
  <si>
    <t xml:space="preserve">        ↳ Episode 6: iMprint</t>
  </si>
  <si>
    <t xml:space="preserve">        ↳ Episode 7: no Mercy</t>
  </si>
  <si>
    <t xml:space="preserve">        ↳ Episode 8: the dreaM</t>
  </si>
  <si>
    <t xml:space="preserve">        ↳ Episode 9: gaMe changer</t>
  </si>
  <si>
    <t xml:space="preserve">        ↳ Episode 10: eneMy of My eneMy</t>
  </si>
  <si>
    <t xml:space="preserve">        ↳ Episode 11: meMento</t>
  </si>
  <si>
    <t xml:space="preserve">        ↳ Episode 12: hoMe</t>
  </si>
  <si>
    <t xml:space="preserve">        ↳ Episode 13: teMpted</t>
  </si>
  <si>
    <t xml:space="preserve">        ↳ Episode 14: calaMity</t>
  </si>
  <si>
    <t xml:space="preserve">        ↳ Episode 15: Monsters</t>
  </si>
  <si>
    <t xml:space="preserve">        ↳ Episode 16: oMens</t>
  </si>
  <si>
    <t>Series finale, show got cancelled :(</t>
  </si>
  <si>
    <t>⭐⭕ Venom (Oct 2018)</t>
  </si>
  <si>
    <t>SSU
[Earth 688B]</t>
  </si>
  <si>
    <t>📺 Daredevil S03 (Oct 2018)</t>
  </si>
  <si>
    <t>✅ Ep 13</t>
  </si>
  <si>
    <t>        ↳ Episode 1: Resurrection</t>
  </si>
  <si>
    <t>        ↳ Episode 2: Please</t>
  </si>
  <si>
    <t>        ↳ Episode 3: No Good Deed</t>
  </si>
  <si>
    <t>        ↳ Episode 4: Blindsided</t>
  </si>
  <si>
    <t>        ↳ Episode 5: The Perfect Game</t>
  </si>
  <si>
    <t>        ↳ Episode 6: The Devil You Know</t>
  </si>
  <si>
    <t>        ↳ Episode 7: Aftermath</t>
  </si>
  <si>
    <t>        ↳ Episode 8: Upstairs/Downstairs</t>
  </si>
  <si>
    <t>        ↳ Episode 9: Revelations</t>
  </si>
  <si>
    <t>        ↳ Episode 10: Karen</t>
  </si>
  <si>
    <t>        ↳ Episode 11: Reunion</t>
  </si>
  <si>
    <t>        ↳ Episode 12: One Last Shot</t>
  </si>
  <si>
    <t>        ↳ Episode 13: A New Napkin</t>
  </si>
  <si>
    <t>📺 Runaways S02 (Dec 2018)</t>
  </si>
  <si>
    <t>10h 30m
(~0h 48m ea)</t>
  </si>
  <si>
    <t xml:space="preserve">        ↳ Episode 1: Gimme Shelter</t>
  </si>
  <si>
    <t xml:space="preserve">        ↳ Episode 2: Radio On</t>
  </si>
  <si>
    <t xml:space="preserve">        ↳ Episode 3: Double Zeros</t>
  </si>
  <si>
    <t xml:space="preserve">        ↳ Episode 4: Old School</t>
  </si>
  <si>
    <t xml:space="preserve">        ↳ Episode 5: Rock Bottom</t>
  </si>
  <si>
    <t xml:space="preserve">        ↳ Episode 6: Bury Another</t>
  </si>
  <si>
    <t xml:space="preserve">        ↳ Episode 7: Last Rites</t>
  </si>
  <si>
    <t xml:space="preserve">        ↳ Episode 8: Past Life</t>
  </si>
  <si>
    <t xml:space="preserve">        ↳ Episode 9: Big Shot</t>
  </si>
  <si>
    <t xml:space="preserve">        ↳ Episode 10: Hostile Takeover</t>
  </si>
  <si>
    <t xml:space="preserve">        ↳ Episode 11: Last Waltz</t>
  </si>
  <si>
    <t xml:space="preserve">        ↳ Episode 12: Earth Angel</t>
  </si>
  <si>
    <t xml:space="preserve">        ↳ Episode 13 Split Up</t>
  </si>
  <si>
    <t>⭐⭕ Spider-Man: Into the Spider-Verse (Dec 2018)</t>
  </si>
  <si>
    <t>The Spider-Verse (Multiverse)
[Earth 1610B + Various]</t>
  </si>
  <si>
    <t>📺 The Punisher S02 (Jan 2019)</t>
  </si>
  <si>
    <t>11h 37m
(~0h 54m ea)</t>
  </si>
  <si>
    <t xml:space="preserve">        ↳ Episode 1: Roadhouse Blues</t>
  </si>
  <si>
    <t xml:space="preserve">        ↳ Episode 2: Fight or Flight</t>
  </si>
  <si>
    <t xml:space="preserve">        ↳ Episode 3: Trouble the Water</t>
  </si>
  <si>
    <t xml:space="preserve">        ↳ Episode 4 Scar Tissue</t>
  </si>
  <si>
    <t xml:space="preserve">       ↳ Episode 5: One-Eyed Jacks</t>
  </si>
  <si>
    <t xml:space="preserve">        ↳ Episode 6: Nakazat</t>
  </si>
  <si>
    <t xml:space="preserve">        ↳ Episode 7: One Bad Day</t>
  </si>
  <si>
    <t xml:space="preserve">        ↳ Episode 8: My Brothers Keeper</t>
  </si>
  <si>
    <t xml:space="preserve">        ↳ Episode 9: Flustercluck</t>
  </si>
  <si>
    <t xml:space="preserve">        ↳ Episode 10: The Dark Hearts of Men</t>
  </si>
  <si>
    <t xml:space="preserve">        ↳ Episode 11: The Abyss</t>
  </si>
  <si>
    <t xml:space="preserve">        ↳ Episode 12: Collision Course</t>
  </si>
  <si>
    <t xml:space="preserve">        ↳ Episode 13: The Whirlwind</t>
  </si>
  <si>
    <t>⭕🎬 Spider-Ham: Caught in a Ham (Feb 2019)
[Short Film]</t>
  </si>
  <si>
    <t>Spider-Ham (The Spider-Verse)
[Earth 8311B]</t>
  </si>
  <si>
    <r>
      <rPr>
        <rFont val="Roboto"/>
        <b/>
        <sz val="14.0"/>
      </rPr>
      <t xml:space="preserve">WATCH </t>
    </r>
    <r>
      <rPr>
        <rFont val="Roboto"/>
        <b/>
        <color rgb="FF1155CC"/>
        <sz val="14.0"/>
        <u/>
      </rPr>
      <t>HERE</t>
    </r>
    <r>
      <rPr>
        <rFont val="Roboto"/>
        <b/>
        <sz val="14.0"/>
      </rPr>
      <t>.</t>
    </r>
  </si>
  <si>
    <t>⭐🍿 Captain Marvel (Mar 2019)</t>
  </si>
  <si>
    <t>📺 Cloak &amp; Dagger S02 (Apr - May 2019)</t>
  </si>
  <si>
    <t>7h 08m
(~0h 43m ea)</t>
  </si>
  <si>
    <t xml:space="preserve">        ↳ Episode 1 Seventy-Eight</t>
  </si>
  <si>
    <t xml:space="preserve">        ↳ Episode 2: The Frog and the Scorpion</t>
  </si>
  <si>
    <t xml:space="preserve">        ↳ Episode 3: Refraction</t>
  </si>
  <si>
    <t xml:space="preserve">        ↳ Episode 4: Bittersweet</t>
  </si>
  <si>
    <t xml:space="preserve">        ↳ Episode 5: The Great Dipper</t>
  </si>
  <si>
    <t xml:space="preserve">        ↳ Episode 6: Love in the Time of Cornballs</t>
  </si>
  <si>
    <t xml:space="preserve">        ↳ Episode 7 Seven Minutes in Heaven</t>
  </si>
  <si>
    <t xml:space="preserve">        ↳ Episode 8: Fracture</t>
  </si>
  <si>
    <t xml:space="preserve">        ↳ Episode 9: The Cattle Raid of Cooley</t>
  </si>
  <si>
    <t xml:space="preserve">        ↳ Episode 10: My Sentence</t>
  </si>
  <si>
    <t>⭐⭐🍿 AVENGERS: ENDGAME (Apr 2019) ⭐⭐</t>
  </si>
  <si>
    <t>3h 01m</t>
  </si>
  <si>
    <t>MCU
[Earth 616]*</t>
  </si>
  <si>
    <t>📺 Agents of S.H.I.E.L.D. S06 (May -  Aug 2019)</t>
  </si>
  <si>
    <t>9h 19m
(~0h 43m ea)</t>
  </si>
  <si>
    <t xml:space="preserve">        ↳ Episode 1: Missing Pieces</t>
  </si>
  <si>
    <t xml:space="preserve">        ↳ Episode 2: Window of Opportunity</t>
  </si>
  <si>
    <t xml:space="preserve">        ↳ Episode 3: Fear and Loathing on the Planet of Kitson</t>
  </si>
  <si>
    <t xml:space="preserve">        ↳ Episode 4: Code Yellow</t>
  </si>
  <si>
    <t xml:space="preserve">       ↳ Episode 5: The Other Thing</t>
  </si>
  <si>
    <t xml:space="preserve">        ↳ Episode 6: Inescapable</t>
  </si>
  <si>
    <t xml:space="preserve">        ↳ Episode 7: Toldja</t>
  </si>
  <si>
    <t xml:space="preserve">        ↳ Episode 8: Collision Course (Part I)</t>
  </si>
  <si>
    <t xml:space="preserve">        ↳ Episode 9: Collision Course (Part II)</t>
  </si>
  <si>
    <t xml:space="preserve">        ↳ Episode 10: Leap</t>
  </si>
  <si>
    <t xml:space="preserve">        ↳ Episode 11: From the Ashes</t>
  </si>
  <si>
    <t xml:space="preserve">        ↳ Episode 12: The Sign</t>
  </si>
  <si>
    <t xml:space="preserve">        ↳ Episode 13: New Life</t>
  </si>
  <si>
    <t>📺 Jessica Jones S03 (Jun 2019)</t>
  </si>
  <si>
    <t xml:space="preserve">        ↳ Episode 1: AKA The Perfect Burger</t>
  </si>
  <si>
    <t xml:space="preserve">        ↳ Episode 2: AKA You're Welcome</t>
  </si>
  <si>
    <t xml:space="preserve">        ↳ Episode 3: AKA I Have No Spleen</t>
  </si>
  <si>
    <t xml:space="preserve">        ↳ Episode 4: AKA Customer Service is Standing By</t>
  </si>
  <si>
    <t xml:space="preserve">        ↳ Episode 5: AKA I Wish</t>
  </si>
  <si>
    <t xml:space="preserve">        ↳ Episode 6: AKA Sorry Face</t>
  </si>
  <si>
    <t xml:space="preserve">        ↳ Episode 7: AKA Double Half-Wappinger</t>
  </si>
  <si>
    <t xml:space="preserve">        ↳ Episode 8: AKA Camera Friendly</t>
  </si>
  <si>
    <t xml:space="preserve">        ↳ Episode 9: AKA I Did Something Today</t>
  </si>
  <si>
    <t xml:space="preserve">        ↳ Episode 10: AKA Hero Pants</t>
  </si>
  <si>
    <t xml:space="preserve">        ↳ Episode 11: AKA Hellcat</t>
  </si>
  <si>
    <t xml:space="preserve">        ↳ Episode 12: AKA A Lotta Worms</t>
  </si>
  <si>
    <t xml:space="preserve">        ↳ Episode 13: AKA Everything</t>
  </si>
  <si>
    <t>⭕📺 Legion S03 (Jun - Aug 2019)</t>
  </si>
  <si>
    <t>6h 39m
(~0h 50m ea)</t>
  </si>
  <si>
    <t xml:space="preserve">        ↳ Episode 1: Chapter 20</t>
  </si>
  <si>
    <t xml:space="preserve">        ↳ Episode 2: Chapter 21</t>
  </si>
  <si>
    <t xml:space="preserve">        ↳ Episode 3: Chapter 22</t>
  </si>
  <si>
    <t xml:space="preserve">        ↳ Episode 4: Chapter 23</t>
  </si>
  <si>
    <t xml:space="preserve">        ↳ Episode 5: Chapter 24</t>
  </si>
  <si>
    <t xml:space="preserve">        ↳ Episode 6: Chapter 25</t>
  </si>
  <si>
    <t xml:space="preserve">        ↳ Episode 7: Chapter 26</t>
  </si>
  <si>
    <t xml:space="preserve">        ↳ Episode 8: Chapter 27</t>
  </si>
  <si>
    <t>⭕ X-Men: Dark Phoenix (Jun 2019)</t>
  </si>
  <si>
    <r>
      <t xml:space="preserve">Titled </t>
    </r>
    <r>
      <rPr>
        <rFont val="Roboto"/>
        <i/>
        <color theme="1"/>
        <sz val="14.0"/>
      </rPr>
      <t>"Dark Phoenix"</t>
    </r>
    <r>
      <rPr>
        <rFont val="Roboto"/>
        <color theme="1"/>
        <sz val="14.0"/>
      </rPr>
      <t xml:space="preserve"> in USA, while it was released as </t>
    </r>
    <r>
      <rPr>
        <rFont val="Roboto"/>
        <i/>
        <color theme="1"/>
        <sz val="14.0"/>
      </rPr>
      <t>"X-Men: Dark Phoenix"</t>
    </r>
    <r>
      <rPr>
        <rFont val="Roboto"/>
        <color theme="1"/>
        <sz val="14.0"/>
      </rPr>
      <t xml:space="preserve"> internationally.</t>
    </r>
  </si>
  <si>
    <t>🍿 Spider-Man: Far From Home (Jul 2019)</t>
  </si>
  <si>
    <t>2h 09m</t>
  </si>
  <si>
    <t>🎬 Peter's To-Do List (Oct 2019)
[One Shot]</t>
  </si>
  <si>
    <r>
      <rPr>
        <rFont val="Roboto"/>
        <b/>
        <sz val="14.0"/>
      </rPr>
      <t xml:space="preserve">WATCH </t>
    </r>
    <r>
      <rPr>
        <rFont val="Roboto"/>
        <b/>
        <color rgb="FF1155CC"/>
        <sz val="14.0"/>
        <u/>
      </rPr>
      <t>HERE</t>
    </r>
    <r>
      <rPr>
        <rFont val="Roboto"/>
        <b/>
        <sz val="14.0"/>
      </rPr>
      <t>.</t>
    </r>
  </si>
  <si>
    <t>📺 Runaways S03 (Dec 2019)</t>
  </si>
  <si>
    <t>8h 03m
(~0h 48m ea)</t>
  </si>
  <si>
    <t xml:space="preserve">        ↳ Episode 1 Smoke and Mirrors</t>
  </si>
  <si>
    <t xml:space="preserve">        ↳ Episode 2: Metamorphosis</t>
  </si>
  <si>
    <t xml:space="preserve">        ↳ Episode 3: Panic Stations</t>
  </si>
  <si>
    <t xml:space="preserve">        ↳ Episode 4: Five Strikes</t>
  </si>
  <si>
    <t xml:space="preserve">        ↳ Episode 5: Another One Bites the Dust</t>
  </si>
  <si>
    <t xml:space="preserve">        ↳ Episode 6: New Powers</t>
  </si>
  <si>
    <t xml:space="preserve">        ↳ Episode 7: Mother</t>
  </si>
  <si>
    <t xml:space="preserve">        ↳ Episode 8: The Spirit Trap</t>
  </si>
  <si>
    <t xml:space="preserve">        ↳ Episode 9: Broken Arrows</t>
  </si>
  <si>
    <t>⭕ The New Mutants (Sep 2020)</t>
  </si>
  <si>
    <t>1h 34m</t>
  </si>
  <si>
    <t>Foxverse (Revised)
[Earth 10005] (?)</t>
  </si>
  <si>
    <t>Spin-off X-Men Movie, assumed to be set in the revised timeline of main Foxverse but not confirmed.</t>
  </si>
  <si>
    <t>⭕📺 Agents of S.H.I.E.L.D. S07 (May – Aug 2020)</t>
  </si>
  <si>
    <t>Branch (AoS) / MCU (AoS)
[Earth-19859] / [Earth 616] (AoS)</t>
  </si>
  <si>
    <r>
      <rPr>
        <rFont val="Roboto"/>
        <b/>
        <i/>
        <color theme="1"/>
        <sz val="14.0"/>
      </rPr>
      <t>Branch</t>
    </r>
    <r>
      <rPr>
        <rFont val="Roboto"/>
        <b/>
        <color theme="1"/>
        <sz val="14.0"/>
      </rPr>
      <t xml:space="preserve"> </t>
    </r>
    <r>
      <rPr>
        <rFont val="Roboto"/>
        <color theme="1"/>
        <sz val="14.0"/>
      </rPr>
      <t>= A branched alternate past created by the Chronicoms. The timelines later converge again, with the future continuing from the altered timeline.</t>
    </r>
  </si>
  <si>
    <t xml:space="preserve">        ↳ Episode 1: The New Deal</t>
  </si>
  <si>
    <t>"Branch (AoS) / MCU (AoS)
[Earth-19859] / [Earth 616] (AoS)"</t>
  </si>
  <si>
    <t xml:space="preserve">        ↳ Episode 2: Know Your Onions</t>
  </si>
  <si>
    <t xml:space="preserve">        ↳ Episode 3: Alien Commies From The Future</t>
  </si>
  <si>
    <t xml:space="preserve">        ↳ Episode 4: Out of the Past</t>
  </si>
  <si>
    <t xml:space="preserve">        ↳ Episode 5: A Trout in the Milk</t>
  </si>
  <si>
    <t xml:space="preserve">        ↳ Episode 6: Adapt or Die</t>
  </si>
  <si>
    <t xml:space="preserve">        ↳ Episode 7: The Totally Excellent Adventures of Mack and the D</t>
  </si>
  <si>
    <t xml:space="preserve">        ↳ Episode 8: After, Before</t>
  </si>
  <si>
    <t>Also includes Earth-17516.</t>
  </si>
  <si>
    <t xml:space="preserve">        ↳ Episode 9: As I Have Always Been</t>
  </si>
  <si>
    <t xml:space="preserve">        ↳ Episode 10 Stolen</t>
  </si>
  <si>
    <t xml:space="preserve">        ↳ Episode 11: Brand New Day</t>
  </si>
  <si>
    <t xml:space="preserve">        ↳ Episode 12: The End is at Hand</t>
  </si>
  <si>
    <t xml:space="preserve">        ↳ Episode 13: What We're Fighting For</t>
  </si>
  <si>
    <t xml:space="preserve">    MULTIVERSE SAGA—
    PHASE 4: INTO THE MULTIVERSE</t>
  </si>
  <si>
    <t>⭐📺 WandaVision (Jan - Mar 2021)</t>
  </si>
  <si>
    <t>✅ Ep 7, 8, 9</t>
  </si>
  <si>
    <t>5h 50m
(~0h 39m ea)</t>
  </si>
  <si>
    <t>Every episode is styled as different sitcoms, it's very cute and fun!</t>
  </si>
  <si>
    <t>Phase 4 Completion:</t>
  </si>
  <si>
    <t xml:space="preserve">        ↳ Episode 1: Filmed Before a Live Studio Audience</t>
  </si>
  <si>
    <t>0h 30m</t>
  </si>
  <si>
    <t xml:space="preserve">        ↳ Episode 2: Don’t Touch That Dial</t>
  </si>
  <si>
    <t>0h 37m</t>
  </si>
  <si>
    <t xml:space="preserve">        ↳ Episode 3: Now in Color</t>
  </si>
  <si>
    <t>0h 33m</t>
  </si>
  <si>
    <t xml:space="preserve">        ↳ Episode 4: We Interrupt This Program</t>
  </si>
  <si>
    <t xml:space="preserve">        ↳ Episode 5: On a Very Special Episode...</t>
  </si>
  <si>
    <t xml:space="preserve">        ↳ Episode 6: All-New Halloween Spooktacular!</t>
  </si>
  <si>
    <t>0h 38m</t>
  </si>
  <si>
    <t xml:space="preserve">        ↳ Episode 7: Breaking the Fourth Wall</t>
  </si>
  <si>
    <t xml:space="preserve">        ↳ Episode 8: Previously On</t>
  </si>
  <si>
    <t xml:space="preserve">        ↳ Episode 9: The Series Finale</t>
  </si>
  <si>
    <t>📺 The Falcon and the Winter Soldier (Mar- Apr 2021)</t>
  </si>
  <si>
    <t>✅ Ep 5, 6</t>
  </si>
  <si>
    <t>5h 26m
(~0h 54m ea)</t>
  </si>
  <si>
    <t>Phase 4 Skipped:</t>
  </si>
  <si>
    <t xml:space="preserve">        ↳ Episode 1: New World Order</t>
  </si>
  <si>
    <t xml:space="preserve">        ↳ Episode 2: The Star-Spangled Man</t>
  </si>
  <si>
    <t xml:space="preserve">        ↳ Episode 3: Power Broker</t>
  </si>
  <si>
    <t xml:space="preserve">        ↳ Episode 4: The Whole World Is Watching</t>
  </si>
  <si>
    <t xml:space="preserve">        ↳ Episode 5: Truth</t>
  </si>
  <si>
    <t xml:space="preserve">        ↳ Episode 6: One World, One People</t>
  </si>
  <si>
    <t>⭐⭕📺 Loki S01 (Jun - Jul 2021)</t>
  </si>
  <si>
    <t>✅ Ep 4</t>
  </si>
  <si>
    <t>4h 47m
(~0h 48m ea)</t>
  </si>
  <si>
    <t>TVA + Multiverse
[TVA + Various]</t>
  </si>
  <si>
    <r>
      <t xml:space="preserve">Continues a storyline that began in </t>
    </r>
    <r>
      <rPr>
        <rFont val="Roboto"/>
        <i/>
        <color theme="1"/>
        <sz val="14.0"/>
      </rPr>
      <t>Avengers: Endgame (2019)</t>
    </r>
    <r>
      <rPr>
        <rFont val="Roboto"/>
        <color theme="1"/>
        <sz val="14.0"/>
      </rPr>
      <t>.</t>
    </r>
  </si>
  <si>
    <t xml:space="preserve">        ↳ Episode 1: Glorious Purpose</t>
  </si>
  <si>
    <t xml:space="preserve">        ↳ Episode 2: The Variant</t>
  </si>
  <si>
    <t xml:space="preserve">        ↳ Episode 3: Lamentis</t>
  </si>
  <si>
    <t xml:space="preserve">        ↳ Episode 4: The Nexus Event</t>
  </si>
  <si>
    <t xml:space="preserve">        ↳ Episode 5: Journey Into Mystery</t>
  </si>
  <si>
    <t xml:space="preserve">        ↳ Episode 6: For All Time. Always.</t>
  </si>
  <si>
    <t>🍿 Black Widow (Jul 2021)</t>
  </si>
  <si>
    <r>
      <rPr>
        <rFont val="Roboto"/>
        <color theme="1"/>
        <sz val="14.0"/>
      </rPr>
      <t xml:space="preserve">Set in 2016, immediately after the events of </t>
    </r>
    <r>
      <rPr>
        <rFont val="Roboto"/>
        <i/>
        <color theme="1"/>
        <sz val="14.0"/>
      </rPr>
      <t>Captain America: Civil War</t>
    </r>
    <r>
      <rPr>
        <rFont val="Roboto"/>
        <color theme="1"/>
        <sz val="14.0"/>
      </rPr>
      <t>. Slotted here because of release, character introduction, and After Credit.</t>
    </r>
  </si>
  <si>
    <t>🎬 Deadpool and Korg React
[Promo]</t>
  </si>
  <si>
    <r>
      <t xml:space="preserve">Promotional short film for </t>
    </r>
    <r>
      <rPr>
        <rFont val="Roboto"/>
        <i/>
        <sz val="14.0"/>
      </rPr>
      <t>Free Guy (2021)</t>
    </r>
    <r>
      <rPr>
        <rFont val="Roboto"/>
        <sz val="14.0"/>
      </rPr>
      <t xml:space="preserve">.
More of an in-universe commercial.
</t>
    </r>
    <r>
      <rPr>
        <rFont val="Roboto"/>
        <b/>
        <sz val="14.0"/>
      </rPr>
      <t xml:space="preserve">WATCH </t>
    </r>
    <r>
      <rPr>
        <rFont val="Roboto"/>
        <b/>
        <color rgb="FF1155CC"/>
        <sz val="14.0"/>
        <u/>
      </rPr>
      <t>HERE</t>
    </r>
    <r>
      <rPr>
        <rFont val="Roboto"/>
        <b/>
        <sz val="14.0"/>
      </rPr>
      <t>.</t>
    </r>
  </si>
  <si>
    <t xml:space="preserve">⭐📺 What If...? S01 (Aug - Oct 2021) </t>
  </si>
  <si>
    <t>✅ Ep 9</t>
  </si>
  <si>
    <t>4h 52m
(~0h 32m ea)</t>
  </si>
  <si>
    <t>Animated Multiverses (MCU+)
[Various]</t>
  </si>
  <si>
    <t>Offically a part of the "expanding MCU Multiverse", but not a part of the mainline MCU Universe.</t>
  </si>
  <si>
    <t xml:space="preserve">        ↳ Episode 1: What If... Captain Carter Were the First Avenger?</t>
  </si>
  <si>
    <t>0h 34m</t>
  </si>
  <si>
    <t>Captain Carter (AMVerse)
[Earth 82111]</t>
  </si>
  <si>
    <t xml:space="preserve">        ↳ Episode 2: What If... T'Challa Became Star-Lord?</t>
  </si>
  <si>
    <t>T'Challa StarLord (AMVerse)
[Earth 21818]</t>
  </si>
  <si>
    <t xml:space="preserve">        ↳ Episode 3: What If... the World Lost Its Mightiest Heroes?</t>
  </si>
  <si>
    <t>Lost Heroes (AMVerse)
[Earth 51825]</t>
  </si>
  <si>
    <t xml:space="preserve">        ↳ Episode 4: What If... Doctor Strange Lost His Heart Instead of His Hands?</t>
  </si>
  <si>
    <t>DrStrange (AMVerse)
[Earth 91233]</t>
  </si>
  <si>
    <t xml:space="preserve">        ↳ Episode 5: What If... Zombies!?</t>
  </si>
  <si>
    <t>Zombies (AMVerse)
[Earth 89521]</t>
  </si>
  <si>
    <t xml:space="preserve">        ↳ Episode 6: What If... Killmonger Rescued Tony Stark?</t>
  </si>
  <si>
    <t>Killmonger (AMVerse)
[Earth 32938]</t>
  </si>
  <si>
    <t xml:space="preserve">        ↳ Episode 7: What If... Thor Were an Only Child?</t>
  </si>
  <si>
    <t>0h 36m</t>
  </si>
  <si>
    <t>OnlyThor (AMVerse)
[Earth 72124]</t>
  </si>
  <si>
    <t xml:space="preserve">        ↳ Episode 8: What If... Ultron Won?</t>
  </si>
  <si>
    <t>0h 31m</t>
  </si>
  <si>
    <r>
      <rPr>
        <rFont val="Roboto"/>
        <b/>
        <color theme="1"/>
        <sz val="14.0"/>
      </rPr>
      <t>UltronWon (AMVerse)
[</t>
    </r>
    <r>
      <rPr>
        <rFont val="Roboto"/>
        <b/>
        <i/>
        <color theme="1"/>
        <sz val="14.0"/>
      </rPr>
      <t>Mainly</t>
    </r>
    <r>
      <rPr>
        <rFont val="Roboto"/>
        <b/>
        <color theme="1"/>
        <sz val="14.0"/>
      </rPr>
      <t xml:space="preserve"> Earth 29929]</t>
    </r>
  </si>
  <si>
    <t xml:space="preserve">        ↳ Episode 9: What If... the Watcher Broke His Oath?</t>
  </si>
  <si>
    <t>Various</t>
  </si>
  <si>
    <t>⭐⭕ Venom: Let there be Carnage (Oct 2021)</t>
  </si>
  <si>
    <t xml:space="preserve">🍿 Shang-Chi and the Legend of the Ten Rings (Sep 2021) </t>
  </si>
  <si>
    <t>2h 12m</t>
  </si>
  <si>
    <t>🍿 Eternals (Nov 2021)</t>
  </si>
  <si>
    <t>2h 36m</t>
  </si>
  <si>
    <t>⭐📺 Hawkeye S01 (Nov - Dec 2021)</t>
  </si>
  <si>
    <t>✅ Ep 6</t>
  </si>
  <si>
    <t>4h 46m
(~0h 48m ea)</t>
  </si>
  <si>
    <t xml:space="preserve">        ↳ Episode 1: Never Meet Your Heroes</t>
  </si>
  <si>
    <t xml:space="preserve">        ↳ Episode 2: Hide and Seek</t>
  </si>
  <si>
    <t xml:space="preserve">        ↳ Episode 3: Echoes</t>
  </si>
  <si>
    <t xml:space="preserve">        ↳ Episode 4: Partners, Am I Right?</t>
  </si>
  <si>
    <t xml:space="preserve">        ↳ Episode 5: Ronin</t>
  </si>
  <si>
    <t xml:space="preserve">        ↳ Episode 6 So This Is Christmas?</t>
  </si>
  <si>
    <t>1h 07m</t>
  </si>
  <si>
    <t>⭐🍿 Spider-Man: No Way Home (Dec 2021)</t>
  </si>
  <si>
    <t>2h 28m</t>
  </si>
  <si>
    <r>
      <rPr>
        <rFont val="Roboto"/>
        <b/>
        <color theme="1"/>
        <sz val="14.0"/>
      </rPr>
      <t xml:space="preserve">*(Second Post Credit is just a commercial for </t>
    </r>
    <r>
      <rPr>
        <rFont val="Roboto"/>
        <b/>
        <i/>
        <color theme="1"/>
        <sz val="14.0"/>
      </rPr>
      <t>Doctor Strange in the Multiverse of Madness (2022)</t>
    </r>
    <r>
      <rPr>
        <rFont val="Roboto"/>
        <b/>
        <color theme="1"/>
        <sz val="14.0"/>
      </rPr>
      <t>. Don't watch it if you don't like commercials!)</t>
    </r>
  </si>
  <si>
    <t>⭐📺 Moon Knight S01 (Mar 2022)</t>
  </si>
  <si>
    <t>4h 48m
(~0h 48m ea)</t>
  </si>
  <si>
    <t xml:space="preserve">        ↳ Episode 1: The Goldfish Problem</t>
  </si>
  <si>
    <t xml:space="preserve">        ↳ Episode 2 Summon the Suit</t>
  </si>
  <si>
    <t xml:space="preserve">        ↳ Episode 3: The Friendly Type</t>
  </si>
  <si>
    <t xml:space="preserve">        ↳ Episode 4: The Tomb</t>
  </si>
  <si>
    <t xml:space="preserve">        ↳ Episode 5: Asylum</t>
  </si>
  <si>
    <t xml:space="preserve">        ↳ Episode 6: Gods and Monsters</t>
  </si>
  <si>
    <t>⭕ Morbius (Apr 2022)</t>
  </si>
  <si>
    <t>⭐🍿 Doctor Strange in the Multiverse of Madness (May 2022)</t>
  </si>
  <si>
    <t>MCU + Multiverse
[Earth 616 + Various]</t>
  </si>
  <si>
    <t>📺 Ms. Marvel (Jul 2022)</t>
  </si>
  <si>
    <t>✅ Ep 1, 6</t>
  </si>
  <si>
    <t>4h 45m
(~0h 48m ea)</t>
  </si>
  <si>
    <t xml:space="preserve">        ↳ Episode 1: Generation Why</t>
  </si>
  <si>
    <t xml:space="preserve">        ↳ Episode 2: Crushed</t>
  </si>
  <si>
    <t xml:space="preserve">        ↳ Episode 3: Destined</t>
  </si>
  <si>
    <t xml:space="preserve">        ↳ Episode 4 Seeing Red</t>
  </si>
  <si>
    <t xml:space="preserve">        ↳ Episode 5: Time and Again</t>
  </si>
  <si>
    <t xml:space="preserve">        ↳ Episode 6: No Normal</t>
  </si>
  <si>
    <t>🍿Thor: Love and Thunder (Jul 2022)</t>
  </si>
  <si>
    <t>📺 I am Groot S01 (Aug 2022)</t>
  </si>
  <si>
    <t>✅ Ep 5</t>
  </si>
  <si>
    <t>0h 20m
(~0h 04m ea)</t>
  </si>
  <si>
    <t>Super Short episodes.
Intended to just be a silly side story.</t>
  </si>
  <si>
    <t xml:space="preserve">        ↳ Episode 1: Groot’s First Steps</t>
  </si>
  <si>
    <t xml:space="preserve">        ↳ Episode 2: The Little Guy</t>
  </si>
  <si>
    <t xml:space="preserve">        ↳ Episode 3: Groot’s Pursuit</t>
  </si>
  <si>
    <t xml:space="preserve">        ↳ Episode 4: Groot Takes a Bath</t>
  </si>
  <si>
    <t xml:space="preserve">        ↳ Episode 5: Magnum Opus</t>
  </si>
  <si>
    <t>📺 She-Hulk: Attorney at Law S01 (Aug 2022)</t>
  </si>
  <si>
    <t>✅ Ep 1, 2, 3, 4, 9</t>
  </si>
  <si>
    <t>5h 11m
(~0h 35m ea)</t>
  </si>
  <si>
    <t xml:space="preserve">        ↳ Episode 1: A Normal Amount of Rage</t>
  </si>
  <si>
    <t xml:space="preserve">        ↳ Episode 2 Superhuman Law</t>
  </si>
  <si>
    <t>0h 32m</t>
  </si>
  <si>
    <t xml:space="preserve">        ↳ Episode 3: The People vs. Emil Blonsky</t>
  </si>
  <si>
    <t xml:space="preserve">        ↳ Episode 4: Is This Not Real Magic?</t>
  </si>
  <si>
    <t xml:space="preserve">        ↳ Episode 5: Mean, Green, and Straight Poured into These Jeans</t>
  </si>
  <si>
    <t>0h 35m</t>
  </si>
  <si>
    <t xml:space="preserve">        ↳ Episode 6: Just Jen</t>
  </si>
  <si>
    <t xml:space="preserve">        ↳ Episode 7: The Retreat</t>
  </si>
  <si>
    <t xml:space="preserve">        ↳ Episode 8: Ribbit and Rip It</t>
  </si>
  <si>
    <t xml:space="preserve">        ↳ Episode 9: Whose Show Is This?</t>
  </si>
  <si>
    <t>⭐🍿 Werewolf by Night (Oct 2022)
[Special Presentation]</t>
  </si>
  <si>
    <r>
      <t xml:space="preserve">The first </t>
    </r>
    <r>
      <rPr>
        <rFont val="Roboto"/>
        <i/>
        <color theme="1"/>
        <sz val="14.0"/>
      </rPr>
      <t>Disney+ special presentation</t>
    </r>
    <r>
      <rPr>
        <rFont val="Roboto"/>
        <color theme="1"/>
        <sz val="14.0"/>
      </rPr>
      <t>. Later released a colour version, though it was intended to be watched in b/w. Both are fun but b/w was the original.</t>
    </r>
  </si>
  <si>
    <t>⭐🍿  Black Panther: Wakanda Forever (Nov 2022)</t>
  </si>
  <si>
    <t>2h 41m</t>
  </si>
  <si>
    <t>🍿 Guardians of the Galaxy: Holiday Special (Nov 2022)
[Special Presentation]</t>
  </si>
  <si>
    <t xml:space="preserve">    MULTIVERSE SAGA—
    PHASE 5: THE NEW AGE OF HEROES</t>
  </si>
  <si>
    <t>🍿 Ant-Man and The Wasp: Quantomania (Feb 2023)</t>
  </si>
  <si>
    <t>2h 05m</t>
  </si>
  <si>
    <t>Phase 5 Completion:</t>
  </si>
  <si>
    <t>⭐🍿 Guardians of the Galaxy Vol 3 (May 2023)</t>
  </si>
  <si>
    <t>2h 30m</t>
  </si>
  <si>
    <t>Phase 5 Skipped:</t>
  </si>
  <si>
    <t>⭐⭕ Spider-Man: Across the Spider-Verse  (Jun 2023)</t>
  </si>
  <si>
    <t>2h 20m</t>
  </si>
  <si>
    <t>📺 Secret Invasion S01 (Jun 2023)</t>
  </si>
  <si>
    <t>4h 13m
(~0h 42m ea)</t>
  </si>
  <si>
    <t xml:space="preserve">        ↳ Episode 1: Resurrection</t>
  </si>
  <si>
    <t xml:space="preserve">        ↳ Episode 2: The Return</t>
  </si>
  <si>
    <t xml:space="preserve">        ↳ Episode 3: Betrayed</t>
  </si>
  <si>
    <t xml:space="preserve">        ↳ Episode 4: Beloved</t>
  </si>
  <si>
    <t xml:space="preserve">        ↳ Episode 5: Harvest</t>
  </si>
  <si>
    <t xml:space="preserve">        ↳ Episode 6: Home</t>
  </si>
  <si>
    <t>⭐🍿 The Marvels (Nov 2023)</t>
  </si>
  <si>
    <t>1h 45m</t>
  </si>
  <si>
    <t>📺 I am Groot S02 (Sep 2023)</t>
  </si>
  <si>
    <t>✅ Ep 3</t>
  </si>
  <si>
    <t>0h 17m
(~0h 03m ea)</t>
  </si>
  <si>
    <t xml:space="preserve">        ↳ Episode 1: Are You My Groot?</t>
  </si>
  <si>
    <t xml:space="preserve">        ↳ Episode 2: Groot Noses Around</t>
  </si>
  <si>
    <t xml:space="preserve">        ↳ Episode 3: Groot’s Snow Day</t>
  </si>
  <si>
    <t xml:space="preserve">        ↳ Episode 4: Groot’s Sweet Treat</t>
  </si>
  <si>
    <t xml:space="preserve">        ↳ Episode 5: Groot and the Great Prophecy</t>
  </si>
  <si>
    <t>⭐⭕ Loki S02 (Oct - Nov 2023)</t>
  </si>
  <si>
    <t>✅ Ep 1</t>
  </si>
  <si>
    <t>4h 44m
(~0h 47m ea)</t>
  </si>
  <si>
    <t xml:space="preserve">        ↳ Episode 1: Ouroboros</t>
  </si>
  <si>
    <t xml:space="preserve">        ↳ Episode 2: Breaking Brad</t>
  </si>
  <si>
    <t xml:space="preserve">        ↳ Episode 3: 1893</t>
  </si>
  <si>
    <t xml:space="preserve">        ↳ Episode 4: Heart of the TVA</t>
  </si>
  <si>
    <t xml:space="preserve">        ↳ Episode 5 Science/Fiction</t>
  </si>
  <si>
    <t xml:space="preserve">        ↳ Episode 6: Glorious Purpose</t>
  </si>
  <si>
    <t>⭐📺 What If...? S02 (Dec 2023)</t>
  </si>
  <si>
    <t>4h 48m
(~0h 32m ea)</t>
  </si>
  <si>
    <t>Animated Multiverse (MCU+)
[Various]</t>
  </si>
  <si>
    <t xml:space="preserve">        ↳ Episode 1: What If... Nebula Joined the Nova Corps?</t>
  </si>
  <si>
    <t>NovaCorps Nebula (AMVerse)
[Xandar 625]</t>
  </si>
  <si>
    <t xml:space="preserve">        ↳ Episode 2: What If... Peter Quill Attacked Earth's Mightiest Heroes?</t>
  </si>
  <si>
    <t>PeterQuill Attacked (AMVerse)
[Earth TRN1089]</t>
  </si>
  <si>
    <t xml:space="preserve">        ↳ Episode 3: What If... Happy Hogan Saved Christmas?</t>
  </si>
  <si>
    <t>HappyChristmas (AMVerse)
[Earth TRN1090]</t>
  </si>
  <si>
    <t xml:space="preserve">        ↳ Episode 4: What If... Iron Man Crashed Into the Grandmaster?</t>
  </si>
  <si>
    <t>IronMan Sakaar (AMVerse)
[Earth TRN908]</t>
  </si>
  <si>
    <t xml:space="preserve">        ↳ Episode 5: What If... Captain Carter Fought the Hydra Stomper?</t>
  </si>
  <si>
    <t>Captain Carter &amp; Medevil (AMVerse)
[Earth 82111 &amp; Earth TRN1093]</t>
  </si>
  <si>
    <t xml:space="preserve">        ↳ Episode 6: What If... Kahhori Reshaped the World?</t>
  </si>
  <si>
    <t>Kahhori (AMVerse)
[Earth TRN1091]</t>
  </si>
  <si>
    <t xml:space="preserve">        ↳ Episode 7: What If... Hela Found the Ten Rings?</t>
  </si>
  <si>
    <t>Hela TenRings (AMVerse)
[Earth TRN1092]</t>
  </si>
  <si>
    <t xml:space="preserve">        ↳ Episode 8: What If... The Avengers Assembled in 1602?</t>
  </si>
  <si>
    <t>Medevil (AMVerse)
[Earth TRN1093]</t>
  </si>
  <si>
    <t xml:space="preserve">        ↳ Episode 9: What If... Strange Supreme Intervened?</t>
  </si>
  <si>
    <t>0h 29m</t>
  </si>
  <si>
    <r>
      <rPr>
        <rFont val="Roboto"/>
        <b/>
        <i/>
        <color theme="1"/>
        <sz val="14.0"/>
      </rPr>
      <t>Mainly</t>
    </r>
    <r>
      <rPr>
        <rFont val="Roboto"/>
        <b/>
        <color theme="1"/>
        <sz val="14.0"/>
      </rPr>
      <t xml:space="preserve"> Medevil (AMVerse)
[Earth TRN1093]</t>
    </r>
  </si>
  <si>
    <t>📺 Echo S01 (Jan 2024)</t>
  </si>
  <si>
    <t>3h 48m
(~0h 45m ea)</t>
  </si>
  <si>
    <r>
      <t xml:space="preserve">The first </t>
    </r>
    <r>
      <rPr>
        <rFont val="Roboto"/>
        <i/>
        <color theme="1"/>
        <sz val="14.0"/>
      </rPr>
      <t>Spotlight Series</t>
    </r>
    <r>
      <rPr>
        <rFont val="Roboto"/>
        <color theme="1"/>
        <sz val="14.0"/>
      </rPr>
      <t>.</t>
    </r>
  </si>
  <si>
    <t xml:space="preserve">        ↳ Episode 1: Chafa</t>
  </si>
  <si>
    <t xml:space="preserve">        ↳ Episode 2: Lowak</t>
  </si>
  <si>
    <t xml:space="preserve">        ↳ Episode 3: Tuklo</t>
  </si>
  <si>
    <t xml:space="preserve">        ↳ Episode 4: Taloa</t>
  </si>
  <si>
    <t xml:space="preserve">        ↳ Episode 5: Maya</t>
  </si>
  <si>
    <t>⭕ Madame Web (Feb 2024)</t>
  </si>
  <si>
    <t>1h 56m</t>
  </si>
  <si>
    <t>⭕🎬 The Spider Within: A Spider-Verse Story (Jun 2023)
[Short Film]</t>
  </si>
  <si>
    <t>0h 07m</t>
  </si>
  <si>
    <t>The Spider-Verse
[Earth 1610B]</t>
  </si>
  <si>
    <r>
      <rPr>
        <rFont val="Roboto"/>
        <b/>
        <sz val="14.0"/>
      </rPr>
      <t xml:space="preserve">WATCH </t>
    </r>
    <r>
      <rPr>
        <rFont val="Roboto"/>
        <b/>
        <color rgb="FF1155CC"/>
        <sz val="14.0"/>
        <u/>
      </rPr>
      <t>HERE</t>
    </r>
    <r>
      <rPr>
        <rFont val="Roboto"/>
        <b/>
        <sz val="14.0"/>
      </rPr>
      <t>.</t>
    </r>
  </si>
  <si>
    <t>⭕📺 X-Men '97 S01 (Mar 2024)</t>
  </si>
  <si>
    <t>5h 25m
(~0h 32m ea)</t>
  </si>
  <si>
    <r>
      <rPr>
        <rFont val="Roboto"/>
        <sz val="14.0"/>
      </rPr>
      <t xml:space="preserve">Direct Sequel to the 90's </t>
    </r>
    <r>
      <rPr>
        <rFont val="Roboto"/>
        <i/>
        <sz val="14.0"/>
      </rPr>
      <t>X-Men The Animated Series</t>
    </r>
    <r>
      <rPr>
        <rFont val="Roboto"/>
        <sz val="14.0"/>
      </rPr>
      <t xml:space="preserve">, </t>
    </r>
    <r>
      <rPr>
        <rFont val="Roboto"/>
        <b/>
        <sz val="14.0"/>
      </rPr>
      <t xml:space="preserve">reviving the </t>
    </r>
    <r>
      <rPr>
        <rFont val="Roboto"/>
        <b/>
        <i/>
        <sz val="14.0"/>
      </rPr>
      <t>TAS</t>
    </r>
    <r>
      <rPr>
        <rFont val="Roboto"/>
        <sz val="14.0"/>
      </rPr>
      <t xml:space="preserve">! If you skipped the originals, </t>
    </r>
    <r>
      <rPr>
        <rFont val="Roboto"/>
        <b/>
        <color rgb="FF1155CC"/>
        <sz val="14.0"/>
        <u/>
      </rPr>
      <t>THIS short video</t>
    </r>
    <r>
      <rPr>
        <rFont val="Roboto"/>
        <sz val="14.0"/>
      </rPr>
      <t xml:space="preserve"> covers everything important.</t>
    </r>
  </si>
  <si>
    <t xml:space="preserve">        ↳ Episode 1: To Me, My X-Men</t>
  </si>
  <si>
    <t>X-Men Animated (TAS)
[Earth 92131]</t>
  </si>
  <si>
    <t xml:space="preserve">        ↳ Episode 2: Mutant Liberation Begins</t>
  </si>
  <si>
    <t xml:space="preserve">        ↳ Episode 3: Fire Made Flesh</t>
  </si>
  <si>
    <t xml:space="preserve">        ↳ Episode 4: Motendo/Lifedeath - Part 1</t>
  </si>
  <si>
    <t xml:space="preserve">        ↳ Episode 5: Remember It</t>
  </si>
  <si>
    <t xml:space="preserve">        ↳ Episode 6: Lifedeath - Part 2</t>
  </si>
  <si>
    <t xml:space="preserve">        ↳ Episode 7: Bright Eyes</t>
  </si>
  <si>
    <t xml:space="preserve">        ↳ Episode 8: Tolerance Is Extinction - Part 1</t>
  </si>
  <si>
    <t xml:space="preserve">        ↳ Episode 9: Tolerance Is Extinction - Part 2</t>
  </si>
  <si>
    <t xml:space="preserve">        ↳ Episode 10: Tolerance Is Extinction - Part 3</t>
  </si>
  <si>
    <t>⭐🍿 Deadpool &amp; Wolverine (Jul 2024)</t>
  </si>
  <si>
    <t>2h 08m</t>
  </si>
  <si>
    <t>Foxverse + Multiverse
[Earth 41633 / Earth 10005 + Various]</t>
  </si>
  <si>
    <t>📺 Agatha All Along S01 (Sep - Oct 2024)</t>
  </si>
  <si>
    <t>6h 44m
(~0h 45m ea)</t>
  </si>
  <si>
    <t>There are no After/Mid Credits but the Credits change in some episodes as the show continues...</t>
  </si>
  <si>
    <t xml:space="preserve">        ↳ Episode 1 Seekest Thou the Road</t>
  </si>
  <si>
    <t xml:space="preserve">        ↳ Episode 2: Circle Sewn with Fate / Unlock Thy Hidden Gate</t>
  </si>
  <si>
    <t xml:space="preserve">        ↳ Episode 3: Through Many Miles / Of Tricks and Trials</t>
  </si>
  <si>
    <t xml:space="preserve">        ↳ Episode 4: If I Can't Reach You / Let My Song Teach You</t>
  </si>
  <si>
    <t xml:space="preserve">        ↳ Episode 5: Darkest Hour / Wake Thy Power</t>
  </si>
  <si>
    <t xml:space="preserve">        ↳ Episode 6: Familiar by Thy Side</t>
  </si>
  <si>
    <t xml:space="preserve">        ↳ Episode 7: Death's Hand in Mine</t>
  </si>
  <si>
    <t xml:space="preserve">        ↳ Episode 8: Follow Me My Friend / To Glory at the End</t>
  </si>
  <si>
    <t xml:space="preserve">        ↳ Episode 9: Maiden Mother Crone</t>
  </si>
  <si>
    <t>⭕ Venom: The Last Dance (Oct 2024)</t>
  </si>
  <si>
    <t>⭐📺 What If...? S03 (Dec 2024)</t>
  </si>
  <si>
    <t>4h 26m
(~0h 33m ea)</t>
  </si>
  <si>
    <t xml:space="preserve">        ↳ Episode 1: What If... The Hulk Fought the Mech Avengers?</t>
  </si>
  <si>
    <t>Mech (AMVerse)
[Earth TRN1491]</t>
  </si>
  <si>
    <t xml:space="preserve">        ↳ Episode 2: What If... Agatha Went to Hollywood?</t>
  </si>
  <si>
    <t>Agatha Hollywood (AMVerse)
[Earth TRN1492]</t>
  </si>
  <si>
    <t xml:space="preserve">        ↳ Episode 3: What If... The Red Guardian Stopped the Winter Soldier?</t>
  </si>
  <si>
    <t>RedGaurdian (AMVerse)
[Earth TRN1493]</t>
  </si>
  <si>
    <t xml:space="preserve">        ↳ Episode 4: What If... Howard the Duck Got Hitched?</t>
  </si>
  <si>
    <t xml:space="preserve">        ↳ Episode 5: What If... The Emergence Destroyed the Earth?</t>
  </si>
  <si>
    <t>EmergenceDestroyedEarth (AMVerse)
[Earth TRN1494]</t>
  </si>
  <si>
    <t xml:space="preserve">        ↳ Episode 6: What If... 1872?</t>
  </si>
  <si>
    <t>Cowboys (AMVerse)
[Earth TRN1495]</t>
  </si>
  <si>
    <t xml:space="preserve">        ↳ Episode 7: What If... The Watcher Disappeared?</t>
  </si>
  <si>
    <t>Various AMVerses &amp; Fifth Dimension
[Various &amp; Watchers]</t>
  </si>
  <si>
    <t xml:space="preserve">        ↳ Episode 8: What If... What If?</t>
  </si>
  <si>
    <t>Fith Dimension &amp; NewDrSUniverse (AMVerse)
[Watchers &amp; Earth TRN1516]</t>
  </si>
  <si>
    <t>⭕ Kraven the Hunter (Dec 2024)</t>
  </si>
  <si>
    <t>⭕📺 Your Friendly Neighborhood Spider-Man S01 (Jan 2025)</t>
  </si>
  <si>
    <t>5h 17m
(~0h 32m ea)</t>
  </si>
  <si>
    <t>YFNSM
[Earth 86445]</t>
  </si>
  <si>
    <t>Prequel to an alternate universe Spider-Man leading up to similar events to MCU.</t>
  </si>
  <si>
    <t xml:space="preserve">        ↳ Episode 1: Amazing Fantasy</t>
  </si>
  <si>
    <t>0h 27m</t>
  </si>
  <si>
    <t>YFNSM (MCU+)
[Earth 86445]</t>
  </si>
  <si>
    <t xml:space="preserve">        ↳ Episode 2: The Parker Luck</t>
  </si>
  <si>
    <t>0h 26m</t>
  </si>
  <si>
    <t xml:space="preserve">        ↳ Episode 3 Secret Identity Crisis</t>
  </si>
  <si>
    <t>0h 28m</t>
  </si>
  <si>
    <t xml:space="preserve">        ↳ Episode 4: Hitting the Big Time</t>
  </si>
  <si>
    <t xml:space="preserve">        ↳ Episode 5: The Unicorn Unleashed!</t>
  </si>
  <si>
    <t xml:space="preserve">        ↳ Episode 6: Duel with the Devil</t>
  </si>
  <si>
    <t xml:space="preserve">        ↳ Episode 7 Scorpion Rising</t>
  </si>
  <si>
    <t xml:space="preserve">        ↳ Episode 8: Tangled Web</t>
  </si>
  <si>
    <t xml:space="preserve">        ↳ Episode 9: Hero or Menace</t>
  </si>
  <si>
    <t xml:space="preserve">        ↳ Episode 10: If This Be My Destiny...</t>
  </si>
  <si>
    <t>🍿 Captain America: Brave New World (Feb 2025)</t>
  </si>
  <si>
    <t>📺 Daredevil: Born Again S01 (Mar - Apr 2025)</t>
  </si>
  <si>
    <t>7h 06m
(~0h 47m ea)</t>
  </si>
  <si>
    <t xml:space="preserve">        ↳ Episode 1: Heaven's Half Hour</t>
  </si>
  <si>
    <t xml:space="preserve">        ↳ Episode 2: Optics</t>
  </si>
  <si>
    <t xml:space="preserve">        ↳ Episode 3: The Hollow of His Hand</t>
  </si>
  <si>
    <t xml:space="preserve">        ↳ Episode 4 Sic Semper Systema</t>
  </si>
  <si>
    <t xml:space="preserve">        ↳ Episode 5: With Interest</t>
  </si>
  <si>
    <t xml:space="preserve">        ↳ Episode 6: Excessive Force</t>
  </si>
  <si>
    <t xml:space="preserve">        ↳ Episode 7: Art for Art's Sake</t>
  </si>
  <si>
    <t xml:space="preserve">        ↳ Episode 8: Isle of Joy</t>
  </si>
  <si>
    <t xml:space="preserve">        ↳ Episode 9 Straight to Hell</t>
  </si>
  <si>
    <t>⭐🍿 Thunderbolts* (May 2025)</t>
  </si>
  <si>
    <t>This movie secretly has another name; you realise it at the end of the movie.</t>
  </si>
  <si>
    <t>📺 IronHeart S01 (Jun 2025)</t>
  </si>
  <si>
    <t>4h 49m
(~0h 48m ea)</t>
  </si>
  <si>
    <t xml:space="preserve">        ↳ Episode 1: Take Me Home</t>
  </si>
  <si>
    <t xml:space="preserve">        ↳ Episode 2: Will the Real Natalie Please Stand Up</t>
  </si>
  <si>
    <t xml:space="preserve">        ↳ Episode 3: We In Danger, Girl</t>
  </si>
  <si>
    <t xml:space="preserve">        ↳ Episode 4: Bad Magic</t>
  </si>
  <si>
    <t xml:space="preserve">        ↳ Episode 5: Karma’s a Glitch</t>
  </si>
  <si>
    <t xml:space="preserve">        ↳ Episode 6: The Past Is the Past</t>
  </si>
  <si>
    <t xml:space="preserve">    MULTIVERSE SAGA—
    PHASE 6: BATTLEWORLD</t>
  </si>
  <si>
    <t>⭐🍿 The Fantastic Four: First Steps (Jul 2025)</t>
  </si>
  <si>
    <t>Retro-Futureverse
[Earth 828]</t>
  </si>
  <si>
    <t>Phase 6 Completion:</t>
  </si>
  <si>
    <t>📺 Eyes of Wakanda S01 (Aug 2025)</t>
  </si>
  <si>
    <t>2h 02m
(~0h 30m ea)</t>
  </si>
  <si>
    <t>MCU (Animated)
[Earth 616]</t>
  </si>
  <si>
    <t>Animated miniseries set in Earth-616 (Main MCU). 
Fully canon, starts at 1260 BC.</t>
  </si>
  <si>
    <t>Phase 6 Skipped:</t>
  </si>
  <si>
    <t xml:space="preserve">        ↳ Episode 1: Into the Lion’s Den  </t>
  </si>
  <si>
    <t xml:space="preserve">        ↳ Episode 2: Legends and Lies  </t>
  </si>
  <si>
    <t xml:space="preserve">        ↳ Episode 3: Lost and Found  </t>
  </si>
  <si>
    <t xml:space="preserve">        ↳ Episode 4: The Last Panther</t>
  </si>
  <si>
    <t>📺 Marvel Zombies S01 (Sep 2025)</t>
  </si>
  <si>
    <t>2h 05m
(~0h 31m ea)</t>
  </si>
  <si>
    <t>Zombies (Animated Multiverse)
[Earth 89521]</t>
  </si>
  <si>
    <r>
      <t xml:space="preserve">Mini-Series that serves as a continuation to the </t>
    </r>
    <r>
      <rPr>
        <rFont val="Roboto"/>
        <b val="0"/>
        <i/>
        <color theme="1"/>
        <sz val="14.0"/>
      </rPr>
      <t>What If...? S01 (2021)</t>
    </r>
    <r>
      <rPr>
        <rFont val="Roboto"/>
        <b/>
        <i/>
        <color theme="1"/>
        <sz val="14.0"/>
      </rPr>
      <t xml:space="preserve"> </t>
    </r>
    <r>
      <rPr>
        <rFont val="Roboto"/>
        <color theme="1"/>
        <sz val="14.0"/>
      </rPr>
      <t xml:space="preserve">episode </t>
    </r>
    <r>
      <rPr>
        <rFont val="Roboto"/>
        <i/>
        <color theme="1"/>
        <sz val="14.0"/>
      </rPr>
      <t>"</t>
    </r>
    <r>
      <rPr>
        <rFont val="Roboto"/>
        <b/>
        <i/>
        <color theme="1"/>
        <sz val="14.0"/>
      </rPr>
      <t>What If... Zombies!?</t>
    </r>
    <r>
      <rPr>
        <rFont val="Roboto"/>
        <i/>
        <color theme="1"/>
        <sz val="14.0"/>
      </rPr>
      <t>"</t>
    </r>
  </si>
  <si>
    <t xml:space="preserve">        ↳ Episode 1: Episode 1</t>
  </si>
  <si>
    <t>Zombies (Animated Multiverse)
[Earth-89521]</t>
  </si>
  <si>
    <t xml:space="preserve">        ↳ Episode 2: Episode 2</t>
  </si>
  <si>
    <t xml:space="preserve">        ↳ Episode 3: Episode 3</t>
  </si>
  <si>
    <t xml:space="preserve">        ↳ Episode 4: Episode 4</t>
  </si>
  <si>
    <t>📺Wonder Man S01 (Jan 2026)</t>
  </si>
  <si>
    <t>3h 45m
(~0h 31m ea)</t>
  </si>
  <si>
    <t>Season 2 got cancelled.</t>
  </si>
  <si>
    <t xml:space="preserve">        ↳ Episode 1: Matinee</t>
  </si>
  <si>
    <t xml:space="preserve">        ↳ Episode 2 Self-Tape</t>
  </si>
  <si>
    <t xml:space="preserve">        ↳ Episode 3: Pacoima</t>
  </si>
  <si>
    <t xml:space="preserve">        ↳ Episode 4: Doorman</t>
  </si>
  <si>
    <t xml:space="preserve">        ↳ Episode 5: Found Footage</t>
  </si>
  <si>
    <t>0h 23m</t>
  </si>
  <si>
    <t xml:space="preserve">        ↳ Episode 6: Callback</t>
  </si>
  <si>
    <t xml:space="preserve">        ↳ Episode 7: Kathy Friedman</t>
  </si>
  <si>
    <t xml:space="preserve">        ↳ Episode 8: Yucca Valley</t>
  </si>
  <si>
    <t>📺 Daredevil: Born Again S02 (Mar 2026)</t>
  </si>
  <si>
    <t>6h 19m
(~0h 47m ea)</t>
  </si>
  <si>
    <t xml:space="preserve">        ↳ Episode 1: The Northern Star</t>
  </si>
  <si>
    <t xml:space="preserve">        ↳ Episode 2 Shoot the Moon</t>
  </si>
  <si>
    <t xml:space="preserve">        ↳ Episode 3: The Scales &amp; the Sword</t>
  </si>
  <si>
    <t xml:space="preserve">        ↳ Episode 4: Gloves Off</t>
  </si>
  <si>
    <t xml:space="preserve">        ↳ Episode 5: The Grand Design</t>
  </si>
  <si>
    <t xml:space="preserve">        ↳ Episode 6: Requiem</t>
  </si>
  <si>
    <t xml:space="preserve">        ↳ Episode 7: The Hateful Darkness</t>
  </si>
  <si>
    <t xml:space="preserve">        ↳ Episode 8: The Southern Cross</t>
  </si>
  <si>
    <t>🍿 The Punisher: One Last Kill (May 2026)
[Special Presentation]</t>
  </si>
  <si>
    <t>⭕📺 Spider-Noir S01 (May 2026)</t>
  </si>
  <si>
    <t>5h 49m
(~0h 43m ea)</t>
  </si>
  <si>
    <t>Spider-Noir Universe
[Earth-TRN1832]</t>
  </si>
  <si>
    <r>
      <t xml:space="preserve">Released in both color and b/w versions. Spider-Man Noir from </t>
    </r>
    <r>
      <rPr>
        <rFont val="Roboto"/>
        <i/>
        <color theme="1"/>
        <sz val="14.0"/>
      </rPr>
      <t>Spider-Man: Into the Spider-Verse (2018)</t>
    </r>
    <r>
      <rPr>
        <rFont val="Roboto"/>
        <color theme="1"/>
        <sz val="14.0"/>
      </rPr>
      <t xml:space="preserve"> and this </t>
    </r>
    <r>
      <rPr>
        <rFont val="Roboto"/>
        <i/>
        <color theme="1"/>
        <sz val="14.0"/>
      </rPr>
      <t>Spider-Noir</t>
    </r>
    <r>
      <rPr>
        <rFont val="Roboto"/>
        <color theme="1"/>
        <sz val="14.0"/>
      </rPr>
      <t xml:space="preserve">, are </t>
    </r>
    <r>
      <rPr>
        <rFont val="Roboto"/>
        <b val="0"/>
        <i val="0"/>
        <color theme="1"/>
        <sz val="14.0"/>
      </rPr>
      <t>variants</t>
    </r>
    <r>
      <rPr>
        <rFont val="Roboto"/>
        <color theme="1"/>
        <sz val="14.0"/>
      </rPr>
      <t xml:space="preserve"> of the same character.</t>
    </r>
  </si>
  <si>
    <t xml:space="preserve">        ↳ Episode 1 Step Into My Office</t>
  </si>
  <si>
    <t xml:space="preserve">        ↳ Episode 2: Tread Lightly</t>
  </si>
  <si>
    <t xml:space="preserve">        ↳ Episode 3: Double Cross</t>
  </si>
  <si>
    <t xml:space="preserve">        ↳ Episode 4: A Mistake I'll Never Make Again</t>
  </si>
  <si>
    <t xml:space="preserve">        ↳ Episode 5: Betrayal</t>
  </si>
  <si>
    <t xml:space="preserve">        ↳ Episode 6: Nightmare on a Gurney</t>
  </si>
  <si>
    <t xml:space="preserve">        ↳ Episode 7: Nobody's Hero</t>
  </si>
  <si>
    <t xml:space="preserve">        ↳ Episode 8: The Man in the Mask</t>
  </si>
  <si>
    <t>⭕📺 X-Men '97 S02 (Jul - Aug 2026)</t>
  </si>
  <si>
    <t>✅ Ep 4, 9</t>
  </si>
  <si>
    <t>04h 52m
(~0h 32m ea)</t>
  </si>
  <si>
    <t>X-Men &amp; Spider-Man AU
[Earth 92131]*</t>
  </si>
  <si>
    <t>Takes place across different points in time.
UID is kept the same to keep it easy and spoiler-free.</t>
  </si>
  <si>
    <t xml:space="preserve">        ↳ Episode 1: Days of Past Future</t>
  </si>
  <si>
    <t>X-Men Animated (TAS)
[Earth 92131]*</t>
  </si>
  <si>
    <t xml:space="preserve">        ↳ Episode 2: A Force to Be Reckoned With</t>
  </si>
  <si>
    <t xml:space="preserve">        ↳ Episode 3: Rise of Apocalypse: Part 1</t>
  </si>
  <si>
    <t xml:space="preserve">        ↳ Episode 4: Rise of Apocalypse Part II</t>
  </si>
  <si>
    <t xml:space="preserve">        ↳ Episode 5: Weapon X, Lies, and DVDs</t>
  </si>
  <si>
    <t xml:space="preserve">        ↳ Episode 6: Danger.exe</t>
  </si>
  <si>
    <t xml:space="preserve">        ↳ Episode 7 Strange Land, Savage Heart</t>
  </si>
  <si>
    <t xml:space="preserve">        ↳ Episode 8: The Dead Man's Hand</t>
  </si>
  <si>
    <t xml:space="preserve">        ↳ Episode 9 Survival of the Fittest</t>
  </si>
  <si>
    <t>⭐🍿 Spider-man: Brand New Day (Jul 2026)</t>
  </si>
  <si>
    <t>2h 25m</t>
  </si>
  <si>
    <t>⭐🍿 Avengers: Endgame Encore (Sep 2026)</t>
  </si>
  <si>
    <t>(TBD)</t>
  </si>
  <si>
    <t>Re-release version of the movie with additional scenes that will lead directly into Doomsday.</t>
  </si>
  <si>
    <t>⭕📺 Your Friendly Neighbourhood Spider-Man S2 (Autumn 2026)</t>
  </si>
  <si>
    <t xml:space="preserve">        ↳ Episode 1: (TBD)</t>
  </si>
  <si>
    <t xml:space="preserve">        ↳ Episode 2: (TBD)</t>
  </si>
  <si>
    <t xml:space="preserve">        ↳ Episode 3: (TBD)</t>
  </si>
  <si>
    <t xml:space="preserve">        ↳ Episode 4: (TBD)</t>
  </si>
  <si>
    <t xml:space="preserve">        ↳ Episode 5: (TBD)</t>
  </si>
  <si>
    <t xml:space="preserve">        ↳ Episode 6: (TBD)</t>
  </si>
  <si>
    <t xml:space="preserve">        ↳ Episode 7: (TBD)</t>
  </si>
  <si>
    <t xml:space="preserve">        ↳ Episode 8: (TBD)</t>
  </si>
  <si>
    <t xml:space="preserve">        ↳ Episode 9: (TBD)</t>
  </si>
  <si>
    <t xml:space="preserve">        ↳ Episode 10: (TBD)</t>
  </si>
  <si>
    <t>📺 VisionQuest (Oct - Dec 2026)</t>
  </si>
  <si>
    <t>⭐🎬 Will Returns (Dec 2025 - Jan 2026)
[One Shots] (Avengers: Doomsday Pre-Release Stories)</t>
  </si>
  <si>
    <t>0h 5m
(~1m ea)</t>
  </si>
  <si>
    <t>MCU*
[Earth 616]</t>
  </si>
  <si>
    <r>
      <rPr>
        <rFont val="Roboto"/>
        <i/>
        <color theme="1"/>
        <sz val="14.0"/>
      </rPr>
      <t>(Slotted here for better viewing experiece).</t>
    </r>
    <r>
      <rPr>
        <rFont val="Roboto"/>
        <b/>
        <color theme="1"/>
        <sz val="14.0"/>
      </rPr>
      <t xml:space="preserve"> The Russo Brothers commented: </t>
    </r>
    <r>
      <rPr>
        <rFont val="Roboto"/>
        <b/>
        <i/>
        <color theme="1"/>
        <sz val="14.0"/>
      </rPr>
      <t>"They are not teasers. Or trailers. They are stories. They are clues...".</t>
    </r>
  </si>
  <si>
    <t xml:space="preserve">        ↳ Steve Rogers Will Return (Dec 2025)</t>
  </si>
  <si>
    <t>0h 01m</t>
  </si>
  <si>
    <t>MCU (In the past?)
[Earth 616]</t>
  </si>
  <si>
    <r>
      <rPr>
        <rFont val="Roboto"/>
        <b/>
        <sz val="14.0"/>
      </rPr>
      <t xml:space="preserve">Watch </t>
    </r>
    <r>
      <rPr>
        <rFont val="Roboto"/>
        <b/>
        <color rgb="FF1155CC"/>
        <sz val="14.0"/>
        <u/>
      </rPr>
      <t>HERE</t>
    </r>
    <r>
      <rPr>
        <rFont val="Roboto"/>
        <b/>
        <sz val="14.0"/>
      </rPr>
      <t>.</t>
    </r>
  </si>
  <si>
    <t xml:space="preserve">        ↳ Thor Will Return (Dec 2025)</t>
  </si>
  <si>
    <r>
      <rPr>
        <rFont val="Roboto"/>
        <b/>
        <sz val="14.0"/>
      </rPr>
      <t xml:space="preserve">Watch </t>
    </r>
    <r>
      <rPr>
        <rFont val="Roboto"/>
        <b/>
        <color rgb="FF1155CC"/>
        <sz val="14.0"/>
        <u/>
      </rPr>
      <t>HERE</t>
    </r>
    <r>
      <rPr>
        <rFont val="Roboto"/>
        <b/>
        <sz val="14.0"/>
      </rPr>
      <t>.</t>
    </r>
  </si>
  <si>
    <t xml:space="preserve">        ↳ The X-Men Will Return (Jan 2026)</t>
  </si>
  <si>
    <t>Uncertain</t>
  </si>
  <si>
    <r>
      <rPr>
        <rFont val="Roboto"/>
        <b/>
        <sz val="14.0"/>
      </rPr>
      <t xml:space="preserve">Watch </t>
    </r>
    <r>
      <rPr>
        <rFont val="Roboto"/>
        <b/>
        <color rgb="FF1155CC"/>
        <sz val="14.0"/>
        <u/>
      </rPr>
      <t>HERE</t>
    </r>
    <r>
      <rPr>
        <rFont val="Roboto"/>
        <b/>
        <sz val="14.0"/>
      </rPr>
      <t>.</t>
    </r>
  </si>
  <si>
    <t xml:space="preserve">        ↳ The Wakandans and the Fantastic Four Will Return (Jan 2026)</t>
  </si>
  <si>
    <r>
      <rPr>
        <rFont val="Roboto"/>
        <b/>
        <sz val="14.0"/>
      </rPr>
      <t xml:space="preserve">Watch </t>
    </r>
    <r>
      <rPr>
        <rFont val="Roboto"/>
        <b/>
        <color rgb="FF1155CC"/>
        <sz val="14.0"/>
        <u/>
      </rPr>
      <t>HERE</t>
    </r>
    <r>
      <rPr>
        <rFont val="Roboto"/>
        <b/>
        <sz val="14.0"/>
      </rPr>
      <t>.</t>
    </r>
  </si>
  <si>
    <t>⭐⭐🍿 AVENGERS: DOOMSDAY (Dec 2026) ⭐⭐</t>
  </si>
  <si>
    <r>
      <rPr>
        <rFont val="Roboto"/>
        <b/>
        <i/>
        <color theme="1"/>
        <sz val="20.0"/>
      </rPr>
      <t xml:space="preserve">Note: </t>
    </r>
    <r>
      <rPr>
        <rFont val="Roboto"/>
        <b val="0"/>
        <i/>
        <color theme="1"/>
        <sz val="20.0"/>
      </rPr>
      <t>The "Mutant Saga" is said to be Phase 7, following a “soft reboot” of all universes after Secret Wars.
Disney is gradually regaining rights to other Marvel characters and universes, such as Fox.
Ideally, this leads to everything being fully connected in one universe, rather than relying on brief references or background cameos.
Phase 7 will likely begin with the X-Men film. Phase 6 so far looks much shorter to others by comparison.</t>
    </r>
  </si>
  <si>
    <r>
      <rPr>
        <rFont val="Roboto"/>
        <b/>
        <color theme="1"/>
        <sz val="20.0"/>
      </rPr>
      <t xml:space="preserve">UPCOMING PROJECTS (TBR) 
🔷 CONFIRMED 🔷
</t>
    </r>
    <r>
      <rPr>
        <rFont val="Roboto"/>
        <b/>
        <i/>
        <color theme="1"/>
        <sz val="18.0"/>
      </rPr>
      <t>(Dates are subject to change)</t>
    </r>
  </si>
  <si>
    <t>📺 Daredevil Born Again S03 (2027)</t>
  </si>
  <si>
    <t xml:space="preserve">⭕📺 X-Men '97 S03 </t>
  </si>
  <si>
    <t>⭕ Beyond the Spider verse</t>
  </si>
  <si>
    <t>⭕📺 Marvel Zombies S02</t>
  </si>
  <si>
    <t>🍿 Ghost Rider (2028)</t>
  </si>
  <si>
    <t>🍿 Black Panther 3 (2028)</t>
  </si>
  <si>
    <t xml:space="preserve"> 🍿 X-Men (05 May 2028)</t>
  </si>
  <si>
    <t>"Armour Wars"</t>
  </si>
  <si>
    <t>"Black Panther 3"</t>
  </si>
  <si>
    <t xml:space="preserve"> "Shang Chi 2"</t>
  </si>
  <si>
    <t>"Blade"</t>
  </si>
  <si>
    <t>⭐⭐🍿 Avengers Secret Wars (Dec 2027) ⭐⭐</t>
  </si>
  <si>
    <t>UPCOMING PROJECTS (TBR)
🔶 UNCONFIRMED 🔶</t>
  </si>
  <si>
    <t>"Nova"</t>
  </si>
  <si>
    <t>"Thunderbolts 2"</t>
  </si>
  <si>
    <t>"Strange Academy" Special</t>
  </si>
  <si>
    <t>Werewolf by Night sequel</t>
  </si>
  <si>
    <t>"Captain Marvel 3" - ft rogue!!!</t>
  </si>
  <si>
    <t>"Heroes for Hire" Sepcial</t>
  </si>
  <si>
    <t>"Midnight Suns"</t>
  </si>
  <si>
    <t>"World War Hulk"</t>
  </si>
  <si>
    <t>"Eternals 2"</t>
  </si>
  <si>
    <t>""Hawkeye S02"</t>
  </si>
  <si>
    <t>"Moon Knight S02"</t>
  </si>
  <si>
    <t>"Ms. Marvel S02"</t>
  </si>
  <si>
    <r>
      <rPr>
        <rFont val="Roboto"/>
        <b/>
        <i/>
        <strike/>
        <color theme="1"/>
        <sz val="14.0"/>
      </rPr>
      <t>"Okoye"</t>
    </r>
    <r>
      <rPr>
        <rFont val="Roboto"/>
        <b/>
        <color theme="1"/>
        <sz val="14.0"/>
      </rPr>
      <t xml:space="preserve"> "Untitled Wakanda Project"</t>
    </r>
  </si>
  <si>
    <t>"Scarlet Witch"</t>
  </si>
  <si>
    <t>"Doctor Strange 3"</t>
  </si>
  <si>
    <t>"Thor V"</t>
  </si>
  <si>
    <t>"Champions" OR "Young Avengers"</t>
  </si>
</sst>
</file>

<file path=xl/styles.xml><?xml version="1.0" encoding="utf-8"?>
<styleSheet xmlns="http://schemas.openxmlformats.org/spreadsheetml/2006/main" xmlns:x14ac="http://schemas.microsoft.com/office/spreadsheetml/2009/9/ac" xmlns:mc="http://schemas.openxmlformats.org/markup-compatibility/2006">
  <fonts count="49">
    <font>
      <sz val="10.0"/>
      <color rgb="FF000000"/>
      <name val="Arial"/>
      <scheme val="minor"/>
    </font>
    <font>
      <b/>
      <sz val="20.0"/>
      <color theme="1"/>
      <name val="Arial"/>
      <scheme val="minor"/>
    </font>
    <font>
      <b/>
      <sz val="18.0"/>
      <color theme="1"/>
      <name val="Arial"/>
      <scheme val="minor"/>
    </font>
    <font>
      <sz val="15.0"/>
      <color theme="1"/>
      <name val="Arial"/>
      <scheme val="minor"/>
    </font>
    <font>
      <color theme="1"/>
      <name val="Arial"/>
      <scheme val="minor"/>
    </font>
    <font>
      <b/>
      <sz val="40.0"/>
      <color rgb="FFFFFFFF"/>
      <name val="Roboto"/>
    </font>
    <font>
      <sz val="12.0"/>
      <color theme="1"/>
      <name val="Arial"/>
      <scheme val="minor"/>
    </font>
    <font>
      <sz val="13.0"/>
      <color theme="1"/>
      <name val="Arial"/>
      <scheme val="minor"/>
    </font>
    <font>
      <b/>
      <u/>
      <sz val="40.0"/>
      <color rgb="FF0000FF"/>
      <name val="Roboto"/>
    </font>
    <font/>
    <font>
      <b/>
      <sz val="36.0"/>
      <color theme="1"/>
      <name val="Roboto"/>
    </font>
    <font>
      <b/>
      <sz val="70.0"/>
      <color rgb="FFFFFFFF"/>
      <name val="Roboto"/>
    </font>
    <font>
      <sz val="15.0"/>
      <color theme="1"/>
      <name val="Roboto"/>
    </font>
    <font>
      <b/>
      <sz val="20.0"/>
      <color rgb="FFF6CC76"/>
      <name val="Roboto"/>
    </font>
    <font>
      <b/>
      <sz val="21.0"/>
      <color rgb="FFFFFFFF"/>
      <name val="Roboto"/>
    </font>
    <font>
      <b/>
      <sz val="60.0"/>
      <color rgb="FFFFFFFF"/>
      <name val="Roboto"/>
    </font>
    <font>
      <b/>
      <u/>
      <sz val="20.0"/>
      <color rgb="FF0000FF"/>
    </font>
    <font>
      <b/>
      <sz val="20.0"/>
      <color rgb="FFFFFFFF"/>
      <name val="Roboto"/>
    </font>
    <font>
      <sz val="17.0"/>
      <color theme="1"/>
      <name val="Arial"/>
      <scheme val="minor"/>
    </font>
    <font>
      <b/>
      <sz val="20.0"/>
      <color rgb="FF000000"/>
      <name val="Roboto"/>
    </font>
    <font>
      <b/>
      <u/>
      <sz val="20.0"/>
      <color rgb="FF0000FF"/>
    </font>
    <font>
      <b/>
      <sz val="14.0"/>
      <color theme="1"/>
      <name val="Roboto"/>
    </font>
    <font>
      <sz val="35.0"/>
      <color rgb="FF000000"/>
      <name val="Roboto"/>
    </font>
    <font>
      <b/>
      <u/>
      <sz val="20.0"/>
      <color rgb="FF0000FF"/>
    </font>
    <font>
      <b/>
      <sz val="18.0"/>
      <color theme="1"/>
      <name val="Roboto"/>
    </font>
    <font>
      <sz val="14.0"/>
      <color theme="1"/>
      <name val="Roboto"/>
    </font>
    <font>
      <u/>
      <sz val="15.0"/>
      <color rgb="FF0000FF"/>
      <name val="Roboto"/>
    </font>
    <font>
      <u/>
      <sz val="15.0"/>
      <color rgb="FF0000FF"/>
      <name val="Roboto"/>
    </font>
    <font>
      <b/>
      <i/>
      <sz val="22.0"/>
      <color theme="1"/>
      <name val="Roboto"/>
    </font>
    <font>
      <b/>
      <sz val="22.0"/>
      <color theme="1"/>
      <name val="Roboto"/>
    </font>
    <font>
      <u/>
      <sz val="15.0"/>
      <color rgb="FF0000FF"/>
      <name val="Roboto"/>
    </font>
    <font>
      <b/>
      <sz val="22.0"/>
      <color theme="1"/>
      <name val="Arial"/>
      <scheme val="minor"/>
    </font>
    <font>
      <b/>
      <i/>
      <sz val="25.0"/>
      <color theme="1"/>
      <name val="Roboto"/>
    </font>
    <font>
      <b/>
      <sz val="25.0"/>
      <color rgb="FFBF9000"/>
      <name val="Roboto"/>
    </font>
    <font>
      <b/>
      <sz val="20.0"/>
      <color theme="1"/>
      <name val="Roboto"/>
    </font>
    <font>
      <b/>
      <sz val="14.0"/>
      <color rgb="FF000000"/>
      <name val="Roboto"/>
    </font>
    <font>
      <sz val="14.0"/>
      <color rgb="FF000000"/>
      <name val="Roboto"/>
    </font>
    <font>
      <color theme="1"/>
      <name val="Roboto"/>
    </font>
    <font>
      <u/>
      <sz val="14.0"/>
      <color rgb="FF000000"/>
      <name val="Roboto"/>
    </font>
    <font>
      <i/>
      <sz val="18.0"/>
      <color rgb="FF000000"/>
      <name val="Roboto"/>
    </font>
    <font>
      <u/>
      <sz val="14.0"/>
      <color rgb="FF0000FF"/>
      <name val="Roboto"/>
    </font>
    <font>
      <sz val="13.0"/>
      <color theme="1"/>
      <name val="Roboto"/>
    </font>
    <font>
      <u/>
      <sz val="14.0"/>
      <color rgb="FF0000FF"/>
      <name val="Roboto"/>
    </font>
    <font>
      <sz val="25.0"/>
      <color rgb="FF000000"/>
      <name val="Roboto"/>
    </font>
    <font>
      <u/>
      <sz val="14.0"/>
      <color rgb="FF0000FF"/>
      <name val="Roboto"/>
    </font>
    <font>
      <b/>
      <u/>
      <sz val="14.0"/>
      <color rgb="FF0000FF"/>
      <name val="Roboto"/>
    </font>
    <font>
      <b/>
      <u/>
      <sz val="14.0"/>
      <color rgb="FF0000FF"/>
      <name val="Roboto"/>
    </font>
    <font>
      <b/>
      <i/>
      <sz val="20.0"/>
      <color theme="1"/>
      <name val="Roboto"/>
    </font>
    <font>
      <b/>
      <i/>
      <sz val="20.0"/>
      <color rgb="FF000000"/>
      <name val="Roboto"/>
    </font>
  </fonts>
  <fills count="21">
    <fill>
      <patternFill patternType="none"/>
    </fill>
    <fill>
      <patternFill patternType="lightGray"/>
    </fill>
    <fill>
      <patternFill patternType="solid">
        <fgColor rgb="FFE47777"/>
        <bgColor rgb="FFE47777"/>
      </patternFill>
    </fill>
    <fill>
      <patternFill patternType="solid">
        <fgColor rgb="FFA2C4C9"/>
        <bgColor rgb="FFA2C4C9"/>
      </patternFill>
    </fill>
    <fill>
      <patternFill patternType="solid">
        <fgColor rgb="FFF3D5AD"/>
        <bgColor rgb="FFF3D5AD"/>
      </patternFill>
    </fill>
    <fill>
      <patternFill patternType="solid">
        <fgColor rgb="FFFFFFFF"/>
        <bgColor rgb="FFFFFFFF"/>
      </patternFill>
    </fill>
    <fill>
      <patternFill patternType="solid">
        <fgColor rgb="FFD5DFE1"/>
        <bgColor rgb="FFD5DFE1"/>
      </patternFill>
    </fill>
    <fill>
      <patternFill patternType="solid">
        <fgColor rgb="FFF1E2E0"/>
        <bgColor rgb="FFF1E2E0"/>
      </patternFill>
    </fill>
    <fill>
      <patternFill patternType="solid">
        <fgColor rgb="FFF0B9BE"/>
        <bgColor rgb="FFF0B9BE"/>
      </patternFill>
    </fill>
    <fill>
      <patternFill patternType="solid">
        <fgColor rgb="FFC4CDEF"/>
        <bgColor rgb="FFC4CDEF"/>
      </patternFill>
    </fill>
    <fill>
      <patternFill patternType="solid">
        <fgColor rgb="FFEAF0F2"/>
        <bgColor rgb="FFEAF0F2"/>
      </patternFill>
    </fill>
    <fill>
      <patternFill patternType="solid">
        <fgColor rgb="FFCC0000"/>
        <bgColor rgb="FFCC0000"/>
      </patternFill>
    </fill>
    <fill>
      <patternFill patternType="solid">
        <fgColor rgb="FFE3C4E7"/>
        <bgColor rgb="FFE3C4E7"/>
      </patternFill>
    </fill>
    <fill>
      <patternFill patternType="solid">
        <fgColor theme="0"/>
        <bgColor theme="0"/>
      </patternFill>
    </fill>
    <fill>
      <patternFill patternType="solid">
        <fgColor rgb="FF000000"/>
        <bgColor rgb="FF000000"/>
      </patternFill>
    </fill>
    <fill>
      <patternFill patternType="solid">
        <fgColor rgb="FFD98B3A"/>
        <bgColor rgb="FFD98B3A"/>
      </patternFill>
    </fill>
    <fill>
      <patternFill patternType="solid">
        <fgColor rgb="FF090C0C"/>
        <bgColor rgb="FF090C0C"/>
      </patternFill>
    </fill>
    <fill>
      <patternFill patternType="solid">
        <fgColor rgb="FFC94F5D"/>
        <bgColor rgb="FFC94F5D"/>
      </patternFill>
    </fill>
    <fill>
      <patternFill patternType="solid">
        <fgColor rgb="FF536CC7"/>
        <bgColor rgb="FF536CC7"/>
      </patternFill>
    </fill>
    <fill>
      <patternFill patternType="solid">
        <fgColor rgb="FFA951B5"/>
        <bgColor rgb="FFA951B5"/>
      </patternFill>
    </fill>
    <fill>
      <patternFill patternType="solid">
        <fgColor rgb="FFB7B7B7"/>
        <bgColor rgb="FFB7B7B7"/>
      </patternFill>
    </fill>
  </fills>
  <borders count="97">
    <border/>
    <border>
      <left style="thick">
        <color rgb="FF000000"/>
      </left>
      <right style="thick">
        <color rgb="FF000000"/>
      </right>
      <top style="thick">
        <color rgb="FF000000"/>
      </top>
      <bottom style="thick">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right style="thick">
        <color rgb="FF000000"/>
      </right>
    </border>
    <border>
      <top style="medium">
        <color rgb="FF000000"/>
      </top>
      <bottom style="medium">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434343"/>
      </right>
      <top style="thick">
        <color rgb="FF000000"/>
      </top>
    </border>
    <border>
      <left style="thick">
        <color rgb="FF000000"/>
      </left>
      <top style="thick">
        <color rgb="FF000000"/>
      </top>
    </border>
    <border>
      <right style="thick">
        <color rgb="FF000000"/>
      </right>
      <top style="thick">
        <color rgb="FF000000"/>
      </top>
    </border>
    <border>
      <left style="thick">
        <color rgb="FF434343"/>
      </left>
      <right style="thick">
        <color rgb="FF434343"/>
      </right>
      <top style="thick">
        <color rgb="FF000000"/>
      </top>
    </border>
    <border>
      <top style="thick">
        <color rgb="FF000000"/>
      </top>
    </border>
    <border>
      <left style="thick">
        <color rgb="FF000000"/>
      </left>
      <top style="thick">
        <color rgb="FF000000"/>
      </top>
      <bottom style="medium">
        <color rgb="FF999999"/>
      </bottom>
    </border>
    <border>
      <left style="medium">
        <color rgb="FF000000"/>
      </left>
      <right style="thick">
        <color rgb="FF000000"/>
      </right>
      <top style="thick">
        <color rgb="FF000000"/>
      </top>
      <bottom style="medium">
        <color rgb="FF999999"/>
      </bottom>
    </border>
    <border>
      <top style="thick">
        <color rgb="FF000000"/>
      </top>
      <bottom style="thick">
        <color rgb="FF000000"/>
      </bottom>
    </border>
    <border>
      <left style="thick">
        <color rgb="FF000000"/>
      </left>
      <top style="medium">
        <color rgb="FF999999"/>
      </top>
      <bottom style="medium">
        <color rgb="FF999999"/>
      </bottom>
    </border>
    <border>
      <left style="medium">
        <color rgb="FF000000"/>
      </left>
      <right style="thick">
        <color rgb="FF000000"/>
      </right>
      <top style="medium">
        <color rgb="FF999999"/>
      </top>
      <bottom style="medium">
        <color rgb="FF999999"/>
      </bottom>
    </border>
    <border>
      <left style="thick">
        <color rgb="FF000000"/>
      </left>
      <right style="medium">
        <color rgb="FFB7B7B7"/>
      </right>
      <bottom style="medium">
        <color rgb="FFB7B7B7"/>
      </bottom>
    </border>
    <border>
      <left style="medium">
        <color rgb="FFB7B7B7"/>
      </left>
      <right style="medium">
        <color rgb="FFB7B7B7"/>
      </right>
      <bottom style="medium">
        <color rgb="FFB7B7B7"/>
      </bottom>
    </border>
    <border>
      <left style="medium">
        <color rgb="FFB7B7B7"/>
      </left>
      <right style="thick">
        <color rgb="FF000000"/>
      </right>
      <bottom style="medium">
        <color rgb="FFB7B7B7"/>
      </bottom>
    </border>
    <border>
      <right style="medium">
        <color rgb="FF000000"/>
      </right>
    </border>
    <border>
      <right style="medium">
        <color rgb="FFCCCCCC"/>
      </right>
      <bottom style="medium">
        <color rgb="FFCCCCCC"/>
      </bottom>
    </border>
    <border>
      <left style="thick">
        <color rgb="FF000000"/>
      </left>
      <top style="medium">
        <color rgb="FF999999"/>
      </top>
      <bottom style="thick">
        <color rgb="FF000000"/>
      </bottom>
    </border>
    <border>
      <left style="medium">
        <color rgb="FF000000"/>
      </left>
      <right style="thick">
        <color rgb="FF000000"/>
      </right>
      <top style="medium">
        <color rgb="FF999999"/>
      </top>
      <bottom style="thick">
        <color rgb="FF000000"/>
      </bottom>
    </border>
    <border>
      <left style="thick">
        <color rgb="FF000000"/>
      </left>
      <bottom style="thick">
        <color rgb="FF000000"/>
      </bottom>
    </border>
    <border>
      <left style="medium">
        <color rgb="FFCCCCCC"/>
      </left>
      <right style="medium">
        <color rgb="FF000000"/>
      </right>
      <bottom style="medium">
        <color rgb="FFCCCCCC"/>
      </bottom>
    </border>
    <border>
      <right style="thick">
        <color rgb="FF000000"/>
      </right>
      <bottom style="thick">
        <color rgb="FF000000"/>
      </bottom>
    </border>
    <border>
      <left style="thick">
        <color rgb="FF000000"/>
      </left>
      <right style="medium">
        <color rgb="FFB7B7B7"/>
      </right>
      <top style="medium">
        <color rgb="FFB7B7B7"/>
      </top>
      <bottom style="medium">
        <color rgb="FFB7B7B7"/>
      </bottom>
    </border>
    <border>
      <left style="medium">
        <color rgb="FFB7B7B7"/>
      </left>
      <right style="medium">
        <color rgb="FFB7B7B7"/>
      </right>
      <top style="medium">
        <color rgb="FFB7B7B7"/>
      </top>
      <bottom style="medium">
        <color rgb="FFB7B7B7"/>
      </bottom>
    </border>
    <border>
      <left style="medium">
        <color rgb="FFB7B7B7"/>
      </left>
      <right style="thick">
        <color rgb="FF000000"/>
      </right>
      <top style="medium">
        <color rgb="FFB7B7B7"/>
      </top>
      <bottom style="medium">
        <color rgb="FFB7B7B7"/>
      </bottom>
    </border>
    <border>
      <left style="thick">
        <color rgb="FF000000"/>
      </left>
      <right style="thick">
        <color rgb="FF000000"/>
      </right>
    </border>
    <border>
      <right style="thick">
        <color rgb="FF000000"/>
      </right>
      <top style="thick">
        <color rgb="FF000000"/>
      </top>
      <bottom style="medium">
        <color rgb="FF999999"/>
      </bottom>
    </border>
    <border>
      <right style="medium">
        <color rgb="FFCCCCCC"/>
      </right>
      <top style="medium">
        <color rgb="FFCCCCCC"/>
      </top>
      <bottom style="medium">
        <color rgb="FF000000"/>
      </bottom>
    </border>
    <border>
      <left style="thick">
        <color rgb="FF000000"/>
      </left>
      <bottom style="medium">
        <color rgb="FF999999"/>
      </bottom>
    </border>
    <border>
      <right style="thick">
        <color rgb="FF000000"/>
      </right>
      <bottom style="medium">
        <color rgb="FF999999"/>
      </bottom>
    </border>
    <border>
      <right style="thick">
        <color rgb="FF000000"/>
      </right>
      <top style="medium">
        <color rgb="FF999999"/>
      </top>
      <bottom style="medium">
        <color rgb="FF999999"/>
      </bottom>
    </border>
    <border>
      <right style="thick">
        <color rgb="FF000000"/>
      </right>
      <top style="medium">
        <color rgb="FF999999"/>
      </top>
      <bottom style="thick">
        <color rgb="FF000000"/>
      </bottom>
    </border>
    <border>
      <left style="medium">
        <color rgb="FFCCCCCC"/>
      </left>
      <right style="medium">
        <color rgb="FF000000"/>
      </right>
      <top style="medium">
        <color rgb="FFCCCCCC"/>
      </top>
      <bottom style="medium">
        <color rgb="FF000000"/>
      </bottom>
    </border>
    <border>
      <right style="medium">
        <color rgb="FFCCCCCC"/>
      </right>
    </border>
    <border>
      <left style="medium">
        <color rgb="FFCCCCCC"/>
      </left>
      <right style="medium">
        <color rgb="FF000000"/>
      </right>
    </border>
    <border>
      <top style="medium">
        <color rgb="FF000000"/>
      </top>
    </border>
    <border>
      <left style="thick">
        <color rgb="FF000000"/>
      </left>
    </border>
    <border>
      <left style="thick">
        <color rgb="FF000000"/>
      </left>
      <right style="medium">
        <color rgb="FFB7B7B7"/>
      </right>
      <top style="medium">
        <color rgb="FFB7B7B7"/>
      </top>
      <bottom style="thick">
        <color rgb="FF000000"/>
      </bottom>
    </border>
    <border>
      <left style="medium">
        <color rgb="FFB7B7B7"/>
      </left>
      <right style="medium">
        <color rgb="FFB7B7B7"/>
      </right>
      <top style="medium">
        <color rgb="FFB7B7B7"/>
      </top>
      <bottom style="thick">
        <color rgb="FF000000"/>
      </bottom>
    </border>
    <border>
      <left style="medium">
        <color rgb="FFB7B7B7"/>
      </left>
      <right style="thick">
        <color rgb="FF000000"/>
      </right>
      <top style="medium">
        <color rgb="FFB7B7B7"/>
      </top>
      <bottom style="thick">
        <color rgb="FF000000"/>
      </bottom>
    </border>
    <border>
      <left style="thick">
        <color rgb="FF000000"/>
      </left>
      <right style="medium">
        <color rgb="FFB7B7B7"/>
      </right>
      <top style="medium">
        <color rgb="FFB7B7B7"/>
      </top>
    </border>
    <border>
      <left style="medium">
        <color rgb="FFB7B7B7"/>
      </left>
      <right style="medium">
        <color rgb="FFB7B7B7"/>
      </right>
      <top style="medium">
        <color rgb="FFB7B7B7"/>
      </top>
    </border>
    <border>
      <left style="medium">
        <color rgb="FFB7B7B7"/>
      </left>
      <right style="thick">
        <color rgb="FF000000"/>
      </right>
      <top style="medium">
        <color rgb="FFB7B7B7"/>
      </top>
    </border>
    <border>
      <right style="medium">
        <color rgb="FF000000"/>
      </right>
      <bottom style="medium">
        <color rgb="FFCCCCCC"/>
      </bottom>
    </border>
    <border>
      <left style="medium">
        <color rgb="FF000000"/>
      </left>
      <right style="medium">
        <color rgb="FFCCCCCC"/>
      </right>
      <bottom style="medium">
        <color rgb="FFCCCCCC"/>
      </bottom>
    </border>
    <border>
      <right style="medium">
        <color rgb="FF000000"/>
      </right>
      <top style="medium">
        <color rgb="FFCCCCCC"/>
      </top>
      <bottom style="medium">
        <color rgb="FFCCCCCC"/>
      </bottom>
    </border>
    <border>
      <left style="medium">
        <color rgb="FF000000"/>
      </left>
      <right style="medium">
        <color rgb="FFCCCCCC"/>
      </right>
      <top style="medium">
        <color rgb="FFCCCCCC"/>
      </top>
      <bottom style="medium">
        <color rgb="FFCCCCCC"/>
      </bottom>
    </border>
    <border>
      <left style="medium">
        <color rgb="FFCCCCCC"/>
      </left>
      <right style="medium">
        <color rgb="FF000000"/>
      </right>
      <top style="medium">
        <color rgb="FFCCCCCC"/>
      </top>
      <bottom style="medium">
        <color rgb="FFCCCCCC"/>
      </bottom>
    </border>
    <border>
      <right style="medium">
        <color rgb="FF000000"/>
      </right>
      <top style="medium">
        <color rgb="FFCCCCCC"/>
      </top>
    </border>
    <border>
      <left style="medium">
        <color rgb="FF000000"/>
      </left>
      <right style="medium">
        <color rgb="FFCCCCCC"/>
      </right>
      <top style="medium">
        <color rgb="FFCCCCCC"/>
      </top>
      <bottom style="medium">
        <color rgb="FF000000"/>
      </bottom>
    </border>
    <border>
      <bottom style="medium">
        <color rgb="FF000000"/>
      </bottom>
    </border>
    <border>
      <right style="medium">
        <color rgb="FF000000"/>
      </right>
      <bottom style="medium">
        <color rgb="FF000000"/>
      </bottom>
    </border>
    <border>
      <left style="medium">
        <color rgb="FF000000"/>
      </left>
    </border>
    <border>
      <left style="thick">
        <color rgb="FF000000"/>
      </left>
      <right style="medium">
        <color rgb="FFB7B7B7"/>
      </right>
      <top style="thick">
        <color rgb="FF000000"/>
      </top>
      <bottom style="medium">
        <color rgb="FFB7B7B7"/>
      </bottom>
    </border>
    <border>
      <left style="medium">
        <color rgb="FFB7B7B7"/>
      </left>
      <right style="medium">
        <color rgb="FFB7B7B7"/>
      </right>
      <top style="thick">
        <color rgb="FF000000"/>
      </top>
      <bottom style="medium">
        <color rgb="FFB7B7B7"/>
      </bottom>
    </border>
    <border>
      <left style="medium">
        <color rgb="FFB7B7B7"/>
      </left>
      <right style="thick">
        <color rgb="FF000000"/>
      </right>
      <top style="thick">
        <color rgb="FF000000"/>
      </top>
      <bottom style="medium">
        <color rgb="FFB7B7B7"/>
      </bottom>
    </border>
    <border>
      <left style="medium">
        <color rgb="FFCCCCCC"/>
      </left>
      <right style="medium">
        <color rgb="FFCCCCCC"/>
      </right>
      <bottom style="medium">
        <color rgb="FFCCCCCC"/>
      </bottom>
    </border>
    <border>
      <left style="medium">
        <color rgb="FFB7B7B7"/>
      </left>
      <right style="medium">
        <color rgb="FFB7B7B7"/>
      </right>
    </border>
    <border>
      <left style="medium">
        <color rgb="FFCCCCCC"/>
      </left>
      <right style="medium">
        <color rgb="FFCCCCCC"/>
      </right>
      <top style="medium">
        <color rgb="FFCCCCCC"/>
      </top>
      <bottom style="medium">
        <color rgb="FFCCCCCC"/>
      </bottom>
    </border>
    <border>
      <left style="medium">
        <color rgb="FFB7B7B7"/>
      </left>
      <right style="medium">
        <color rgb="FFB7B7B7"/>
      </right>
      <top style="medium">
        <color rgb="FFCCCCCC"/>
      </top>
    </border>
    <border>
      <top style="medium">
        <color rgb="FFCCCCCC"/>
      </top>
    </border>
    <border>
      <left style="medium">
        <color rgb="FF000000"/>
      </left>
      <right style="medium">
        <color rgb="FF000000"/>
      </right>
    </border>
    <border>
      <left style="medium">
        <color rgb="FFB7B7B7"/>
      </left>
      <right style="medium">
        <color rgb="FFB7B7B7"/>
      </right>
      <top style="medium">
        <color rgb="FFCCCCCC"/>
      </top>
      <bottom style="medium">
        <color rgb="FFCCCCCC"/>
      </bottom>
    </border>
    <border>
      <top style="medium">
        <color rgb="FFCCCCCC"/>
      </top>
      <bottom style="medium">
        <color rgb="FFCCCCCC"/>
      </bottom>
    </border>
    <border>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medium">
        <color rgb="FF000000"/>
      </left>
      <right style="medium">
        <color rgb="FFCCCCCC"/>
      </right>
      <top style="medium">
        <color rgb="FFCCCCCC"/>
      </top>
    </border>
    <border>
      <left style="medium">
        <color rgb="FFCCCCCC"/>
      </left>
      <right style="medium">
        <color rgb="FF000000"/>
      </right>
      <top style="medium">
        <color rgb="FFCCCCCC"/>
      </top>
    </border>
    <border>
      <left style="thick">
        <color rgb="FF000000"/>
      </left>
      <right style="medium">
        <color rgb="FFCCCCCC"/>
      </right>
      <top style="thick">
        <color rgb="FF000000"/>
      </top>
      <bottom style="medium">
        <color rgb="FFCCCCCC"/>
      </bottom>
    </border>
    <border>
      <left style="medium">
        <color rgb="FFCCCCCC"/>
      </left>
      <right style="thick">
        <color rgb="FF000000"/>
      </right>
      <top style="thick">
        <color rgb="FF000000"/>
      </top>
      <bottom style="medium">
        <color rgb="FFCCCCCC"/>
      </bottom>
    </border>
    <border>
      <left style="thick">
        <color rgb="FF000000"/>
      </left>
      <right style="medium">
        <color rgb="FFCCCCCC"/>
      </right>
      <top style="medium">
        <color rgb="FFCCCCCC"/>
      </top>
      <bottom style="medium">
        <color rgb="FFCCCCCC"/>
      </bottom>
    </border>
    <border>
      <left style="medium">
        <color rgb="FFCCCCCC"/>
      </left>
      <right style="thick">
        <color rgb="FF000000"/>
      </right>
      <top style="medium">
        <color rgb="FFCCCCCC"/>
      </top>
      <bottom style="medium">
        <color rgb="FFCCCCCC"/>
      </bottom>
    </border>
    <border>
      <left style="thick">
        <color rgb="FF000000"/>
      </left>
      <right style="medium">
        <color rgb="FFCCCCCC"/>
      </right>
      <top style="medium">
        <color rgb="FFCCCCCC"/>
      </top>
      <bottom style="thick">
        <color rgb="FF000000"/>
      </bottom>
    </border>
    <border>
      <left style="medium">
        <color rgb="FFCCCCCC"/>
      </left>
      <right style="thick">
        <color rgb="FF000000"/>
      </right>
      <top style="medium">
        <color rgb="FFCCCCCC"/>
      </top>
      <bottom style="thick">
        <color rgb="FF000000"/>
      </bottom>
    </border>
    <border>
      <left style="medium">
        <color rgb="FFB7B7B7"/>
      </left>
      <bottom style="medium">
        <color rgb="FFB7B7B7"/>
      </bottom>
    </border>
    <border>
      <right style="medium">
        <color rgb="FF000000"/>
      </right>
      <bottom style="medium">
        <color rgb="FFB7B7B7"/>
      </bottom>
    </border>
    <border>
      <left style="medium">
        <color rgb="FFB7B7B7"/>
      </left>
      <top style="medium">
        <color rgb="FFB7B7B7"/>
      </top>
      <bottom style="medium">
        <color rgb="FFB7B7B7"/>
      </bottom>
    </border>
    <border>
      <right style="medium">
        <color rgb="FF000000"/>
      </right>
      <top style="medium">
        <color rgb="FFB7B7B7"/>
      </top>
      <bottom style="medium">
        <color rgb="FFB7B7B7"/>
      </bottom>
    </border>
    <border>
      <left style="medium">
        <color rgb="FFCCCCCC"/>
      </left>
      <right style="medium">
        <color rgb="FFCCCCCC"/>
      </right>
      <top style="medium">
        <color rgb="FFCCCCCC"/>
      </top>
    </border>
    <border>
      <left style="medium">
        <color rgb="FFB7B7B7"/>
      </left>
      <top style="medium">
        <color rgb="FFB7B7B7"/>
      </top>
    </border>
    <border>
      <right style="medium">
        <color rgb="FF000000"/>
      </right>
      <top style="medium">
        <color rgb="FFB7B7B7"/>
      </top>
    </border>
    <border>
      <left style="thick">
        <color rgb="FF000000"/>
      </left>
      <right style="medium">
        <color rgb="FFCCCCCC"/>
      </right>
      <top style="medium">
        <color rgb="FFCCCCCC"/>
      </top>
      <bottom style="medium">
        <color rgb="FF000000"/>
      </bottom>
    </border>
    <border>
      <left style="medium">
        <color rgb="FFCCCCCC"/>
      </left>
      <right style="thick">
        <color rgb="FF000000"/>
      </right>
      <top style="medium">
        <color rgb="FFCCCCCC"/>
      </top>
      <bottom style="medium">
        <color rgb="FF000000"/>
      </bottom>
    </border>
    <border>
      <left style="medium">
        <color rgb="FF000000"/>
      </left>
      <right style="medium">
        <color rgb="FFB7B7B7"/>
      </right>
      <bottom style="medium">
        <color rgb="FFB7B7B7"/>
      </bottom>
    </border>
    <border>
      <left style="medium">
        <color rgb="FFB7B7B7"/>
      </left>
      <right style="medium">
        <color rgb="FF000000"/>
      </right>
      <bottom style="medium">
        <color rgb="FFB7B7B7"/>
      </bottom>
    </border>
    <border>
      <left style="medium">
        <color rgb="FF000000"/>
      </left>
      <right style="medium">
        <color rgb="FFB7B7B7"/>
      </right>
      <top style="medium">
        <color rgb="FFB7B7B7"/>
      </top>
      <bottom style="medium">
        <color rgb="FFB7B7B7"/>
      </bottom>
    </border>
    <border>
      <left style="medium">
        <color rgb="FFB7B7B7"/>
      </left>
      <right style="medium">
        <color rgb="FF000000"/>
      </right>
      <top style="medium">
        <color rgb="FFB7B7B7"/>
      </top>
      <bottom style="medium">
        <color rgb="FFB7B7B7"/>
      </bottom>
    </border>
    <border>
      <left style="medium">
        <color rgb="FF000000"/>
      </left>
      <right style="medium">
        <color rgb="FFB7B7B7"/>
      </right>
      <top style="medium">
        <color rgb="FFB7B7B7"/>
      </top>
      <bottom style="medium">
        <color rgb="FF000000"/>
      </bottom>
    </border>
    <border>
      <left style="medium">
        <color rgb="FFB7B7B7"/>
      </left>
      <right style="medium">
        <color rgb="FFB7B7B7"/>
      </right>
      <top style="medium">
        <color rgb="FFB7B7B7"/>
      </top>
      <bottom style="medium">
        <color rgb="FF000000"/>
      </bottom>
    </border>
    <border>
      <left style="medium">
        <color rgb="FFB7B7B7"/>
      </left>
      <right style="medium">
        <color rgb="FF000000"/>
      </right>
      <top style="medium">
        <color rgb="FFB7B7B7"/>
      </top>
      <bottom style="medium">
        <color rgb="FF000000"/>
      </bottom>
    </border>
  </borders>
  <cellStyleXfs count="1">
    <xf borderId="0" fillId="0" fontId="0" numFmtId="0" applyAlignment="1" applyFont="1"/>
  </cellStyleXfs>
  <cellXfs count="37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1" numFmtId="0" xfId="0" applyAlignment="1" applyBorder="1" applyFont="1">
      <alignment horizontal="right" readingOrder="0" vertical="center"/>
    </xf>
    <xf borderId="2" fillId="2" fontId="1" numFmtId="0" xfId="0" applyAlignment="1" applyBorder="1" applyFill="1" applyFont="1">
      <alignment horizontal="left" readingOrder="0" shrinkToFit="0" vertical="bottom" wrapText="1"/>
    </xf>
    <xf borderId="1" fillId="0" fontId="2" numFmtId="0" xfId="0" applyAlignment="1" applyBorder="1" applyFont="1">
      <alignment horizontal="center" readingOrder="0" vertical="center"/>
    </xf>
    <xf borderId="3" fillId="3" fontId="1" numFmtId="0" xfId="0" applyAlignment="1" applyBorder="1" applyFill="1" applyFont="1">
      <alignment horizontal="left" readingOrder="0" shrinkToFit="0" vertical="bottom" wrapText="1"/>
    </xf>
    <xf borderId="4" fillId="3" fontId="1" numFmtId="0" xfId="0" applyAlignment="1" applyBorder="1" applyFill="1" applyFont="1">
      <alignment horizontal="left" readingOrder="0" shrinkToFit="0" vertical="center" wrapText="1"/>
    </xf>
    <xf borderId="5" fillId="0" fontId="2" numFmtId="0" xfId="0" applyAlignment="1" applyBorder="1" applyFont="1">
      <alignment horizontal="right" readingOrder="0" vertical="center"/>
    </xf>
    <xf borderId="0" fillId="4" fontId="2" numFmtId="0" xfId="0" applyAlignment="1" applyFill="1" applyFont="1">
      <alignment horizontal="right" vertical="center"/>
    </xf>
    <xf borderId="0" fillId="5" fontId="2" numFmtId="0" xfId="0" applyAlignment="1" applyFill="1" applyFont="1">
      <alignment horizontal="right" vertical="center"/>
    </xf>
    <xf borderId="0" fillId="6" fontId="2" numFmtId="0" xfId="0" applyAlignment="1" applyFill="1" applyFont="1">
      <alignment horizontal="right" vertical="center"/>
    </xf>
    <xf borderId="2" fillId="7" fontId="3" numFmtId="0" xfId="0" applyAlignment="1" applyBorder="1" applyFill="1" applyFont="1">
      <alignment horizontal="left" readingOrder="0" shrinkToFit="0" vertical="top" wrapText="1"/>
    </xf>
    <xf borderId="0" fillId="8" fontId="2" numFmtId="0" xfId="0" applyAlignment="1" applyFill="1" applyFont="1">
      <alignment horizontal="right" vertical="center"/>
    </xf>
    <xf borderId="0" fillId="0" fontId="2" numFmtId="0" xfId="0" applyAlignment="1" applyFont="1">
      <alignment horizontal="right" vertical="center"/>
    </xf>
    <xf borderId="0" fillId="9" fontId="4" numFmtId="0" xfId="0" applyFill="1" applyFont="1"/>
    <xf borderId="6" fillId="10" fontId="3" numFmtId="0" xfId="0" applyAlignment="1" applyBorder="1" applyFill="1" applyFont="1">
      <alignment horizontal="left" readingOrder="0" shrinkToFit="0" vertical="top" wrapText="1"/>
    </xf>
    <xf borderId="0" fillId="5" fontId="4" numFmtId="0" xfId="0" applyFill="1" applyFont="1"/>
    <xf borderId="0" fillId="11" fontId="5" numFmtId="0" xfId="0" applyAlignment="1" applyFill="1" applyFont="1">
      <alignment horizontal="center" readingOrder="0" shrinkToFit="0" vertical="center" wrapText="1"/>
    </xf>
    <xf borderId="4" fillId="10" fontId="3" numFmtId="0" xfId="0" applyAlignment="1" applyBorder="1" applyFill="1" applyFont="1">
      <alignment horizontal="left" readingOrder="0" shrinkToFit="0" vertical="top" wrapText="1"/>
    </xf>
    <xf borderId="0" fillId="9" fontId="2" numFmtId="0" xfId="0" applyAlignment="1" applyFill="1" applyFont="1">
      <alignment horizontal="right" vertical="center"/>
    </xf>
    <xf borderId="0" fillId="12" fontId="2" numFmtId="0" xfId="0" applyAlignment="1" applyFill="1" applyFont="1">
      <alignment horizontal="right" vertical="center"/>
    </xf>
    <xf borderId="0" fillId="0" fontId="1" numFmtId="0" xfId="0" applyAlignment="1" applyFont="1">
      <alignment horizontal="left" readingOrder="0" shrinkToFit="0" vertical="bottom" wrapText="1"/>
    </xf>
    <xf borderId="0" fillId="5" fontId="6" numFmtId="0" xfId="0" applyAlignment="1" applyFill="1" applyFont="1">
      <alignment horizontal="left" readingOrder="0" vertical="top"/>
    </xf>
    <xf borderId="4" fillId="3" fontId="6" numFmtId="0" xfId="0" applyAlignment="1" applyBorder="1" applyFill="1" applyFont="1">
      <alignment horizontal="left" readingOrder="0" vertical="top"/>
    </xf>
    <xf borderId="0" fillId="0" fontId="2" numFmtId="0" xfId="0" applyAlignment="1" applyFont="1">
      <alignment horizontal="right" readingOrder="0" vertical="center"/>
    </xf>
    <xf borderId="0" fillId="0" fontId="7"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2" fillId="7" fontId="7" numFmtId="0" xfId="0" applyAlignment="1" applyBorder="1" applyFill="1" applyFont="1">
      <alignment horizontal="left" readingOrder="0" shrinkToFit="0" vertical="top" wrapText="1"/>
    </xf>
    <xf borderId="4" fillId="10" fontId="7" numFmtId="0" xfId="0" applyAlignment="1" applyBorder="1" applyFill="1" applyFont="1">
      <alignment horizontal="left" readingOrder="0" shrinkToFit="0" vertical="top" wrapText="1"/>
    </xf>
    <xf borderId="7" fillId="13" fontId="8" numFmtId="0" xfId="0" applyAlignment="1" applyBorder="1" applyFill="1" applyFont="1">
      <alignment horizontal="center" readingOrder="0" shrinkToFit="0" vertical="center" wrapText="1"/>
    </xf>
    <xf borderId="8" fillId="0" fontId="9" numFmtId="0" xfId="0" applyBorder="1" applyFont="1"/>
    <xf borderId="7" fillId="13" fontId="10" numFmtId="0" xfId="0" applyAlignment="1" applyBorder="1" applyFill="1" applyFont="1">
      <alignment horizontal="center" readingOrder="0" shrinkToFit="0" vertical="center" wrapText="1"/>
    </xf>
    <xf borderId="9" fillId="14" fontId="11" numFmtId="0" xfId="0" applyAlignment="1" applyBorder="1" applyFill="1" applyFont="1">
      <alignment horizontal="left" readingOrder="0" shrinkToFit="0" vertical="center" wrapText="0"/>
    </xf>
    <xf borderId="10" fillId="13" fontId="12" numFmtId="0" xfId="0" applyAlignment="1" applyBorder="1" applyFill="1" applyFont="1">
      <alignment horizontal="left" readingOrder="0" shrinkToFit="0" vertical="top" wrapText="1"/>
    </xf>
    <xf borderId="11" fillId="0" fontId="9" numFmtId="0" xfId="0" applyBorder="1" applyFont="1"/>
    <xf borderId="12" fillId="14" fontId="13" numFmtId="0" xfId="0" applyAlignment="1" applyBorder="1" applyFill="1" applyFont="1">
      <alignment horizontal="center" readingOrder="0" shrinkToFit="0" vertical="center" wrapText="1"/>
    </xf>
    <xf borderId="13" fillId="14" fontId="14" numFmtId="0" xfId="0" applyAlignment="1" applyBorder="1" applyFill="1" applyFont="1">
      <alignment horizontal="center" readingOrder="0" shrinkToFit="0" vertical="center" wrapText="1"/>
    </xf>
    <xf borderId="13" fillId="14" fontId="13" numFmtId="0" xfId="0" applyAlignment="1" applyBorder="1" applyFill="1" applyFont="1">
      <alignment horizontal="left" readingOrder="0" vertical="center"/>
    </xf>
    <xf borderId="11" fillId="14" fontId="15" numFmtId="0" xfId="0" applyAlignment="1" applyBorder="1" applyFill="1" applyFont="1">
      <alignment horizontal="right" readingOrder="0" vertical="top"/>
    </xf>
    <xf borderId="14" fillId="0" fontId="16" numFmtId="0" xfId="0" applyAlignment="1" applyBorder="1" applyFont="1">
      <alignment horizontal="center" readingOrder="0" vertical="center"/>
    </xf>
    <xf borderId="7" fillId="15" fontId="17" numFmtId="0" xfId="0" applyAlignment="1" applyBorder="1" applyFill="1" applyFont="1">
      <alignment horizontal="left" readingOrder="0" vertical="center"/>
    </xf>
    <xf borderId="15" fillId="0" fontId="18" numFmtId="0" xfId="0" applyAlignment="1" applyBorder="1" applyFont="1">
      <alignment readingOrder="0" shrinkToFit="0" vertical="center" wrapText="1"/>
    </xf>
    <xf borderId="16" fillId="15" fontId="17" numFmtId="0" xfId="0" applyAlignment="1" applyBorder="1" applyFill="1" applyFont="1">
      <alignment horizontal="center" readingOrder="0" vertical="center"/>
    </xf>
    <xf borderId="16" fillId="15" fontId="17" numFmtId="0" xfId="0" applyAlignment="1" applyBorder="1" applyFill="1" applyFont="1">
      <alignment horizontal="center" readingOrder="0" shrinkToFit="0" vertical="center" wrapText="1"/>
    </xf>
    <xf borderId="16" fillId="15" fontId="19" numFmtId="0" xfId="0" applyAlignment="1" applyBorder="1" applyFill="1" applyFont="1">
      <alignment horizontal="center" readingOrder="0" vertical="center"/>
    </xf>
    <xf borderId="17" fillId="0" fontId="20" numFmtId="0" xfId="0" applyAlignment="1" applyBorder="1" applyFont="1">
      <alignment horizontal="center" readingOrder="0" vertical="center"/>
    </xf>
    <xf borderId="16" fillId="15" fontId="4" numFmtId="0" xfId="0" applyBorder="1" applyFill="1" applyFont="1"/>
    <xf borderId="18" fillId="0" fontId="18" numFmtId="0" xfId="0" applyAlignment="1" applyBorder="1" applyFont="1">
      <alignment readingOrder="0" shrinkToFit="0" vertical="center" wrapText="1"/>
    </xf>
    <xf borderId="8" fillId="15" fontId="4" numFmtId="0" xfId="0" applyBorder="1" applyFill="1" applyFont="1"/>
    <xf borderId="19" fillId="5" fontId="21" numFmtId="0" xfId="0" applyAlignment="1" applyBorder="1" applyFill="1" applyFont="1">
      <alignment horizontal="left" readingOrder="0" shrinkToFit="0" vertical="center" wrapText="1"/>
    </xf>
    <xf borderId="20" fillId="5" fontId="22" numFmtId="0" xfId="0" applyAlignment="1" applyBorder="1" applyFill="1" applyFont="1">
      <alignment horizontal="center" readingOrder="0" shrinkToFit="0" vertical="center" wrapText="1"/>
    </xf>
    <xf borderId="20" fillId="5" fontId="21" numFmtId="0" xfId="0" applyAlignment="1" applyBorder="1" applyFill="1" applyFont="1">
      <alignment horizontal="left" readingOrder="0" shrinkToFit="0" vertical="center" wrapText="1"/>
    </xf>
    <xf borderId="21" fillId="5" fontId="21" numFmtId="0" xfId="0" applyAlignment="1" applyBorder="1" applyFill="1" applyFont="1">
      <alignment horizontal="left" readingOrder="0" shrinkToFit="0" vertical="center" wrapText="1"/>
    </xf>
    <xf borderId="22" fillId="5" fontId="19" numFmtId="0" xfId="0" applyAlignment="1" applyBorder="1" applyFill="1" applyFont="1">
      <alignment horizontal="center" readingOrder="0" shrinkToFit="0" vertical="center" wrapText="1"/>
    </xf>
    <xf borderId="23" fillId="0" fontId="21" numFmtId="0" xfId="0" applyAlignment="1" applyBorder="1" applyFont="1">
      <alignment horizontal="left" readingOrder="0" shrinkToFit="0" vertical="center" wrapText="1"/>
    </xf>
    <xf borderId="24" fillId="0" fontId="23" numFmtId="0" xfId="0" applyAlignment="1" applyBorder="1" applyFont="1">
      <alignment horizontal="center" readingOrder="0" vertical="center"/>
    </xf>
    <xf borderId="25" fillId="0" fontId="18" numFmtId="0" xfId="0" applyAlignment="1" applyBorder="1" applyFont="1">
      <alignment readingOrder="0" shrinkToFit="0" vertical="center" wrapText="1"/>
    </xf>
    <xf borderId="26" fillId="13" fontId="10" numFmtId="0" xfId="0" applyAlignment="1" applyBorder="1" applyFill="1" applyFont="1">
      <alignment horizontal="center" readingOrder="0" shrinkToFit="0" vertical="center" wrapText="1"/>
    </xf>
    <xf borderId="27" fillId="0" fontId="24" numFmtId="9" xfId="0" applyAlignment="1" applyBorder="1" applyFont="1" applyNumberFormat="1">
      <alignment horizontal="center" readingOrder="0" shrinkToFit="0" vertical="center" wrapText="1"/>
    </xf>
    <xf borderId="28" fillId="0" fontId="9" numFmtId="0" xfId="0" applyBorder="1" applyFont="1"/>
    <xf borderId="29" fillId="5" fontId="21" numFmtId="0" xfId="0" applyAlignment="1" applyBorder="1" applyFill="1" applyFont="1">
      <alignment horizontal="left" readingOrder="0" shrinkToFit="0" vertical="center" wrapText="1"/>
    </xf>
    <xf borderId="30" fillId="5" fontId="22" numFmtId="0" xfId="0" applyAlignment="1" applyBorder="1" applyFill="1" applyFont="1">
      <alignment horizontal="center" readingOrder="0" shrinkToFit="0" vertical="center" wrapText="1"/>
    </xf>
    <xf borderId="30" fillId="5" fontId="21" numFmtId="0" xfId="0" applyAlignment="1" applyBorder="1" applyFill="1" applyFont="1">
      <alignment horizontal="left" readingOrder="0" shrinkToFit="0" vertical="center" wrapText="1"/>
    </xf>
    <xf borderId="31" fillId="5" fontId="25" numFmtId="0" xfId="0" applyAlignment="1" applyBorder="1" applyFill="1" applyFont="1">
      <alignment horizontal="left" readingOrder="0" shrinkToFit="0" vertical="center" wrapText="1"/>
    </xf>
    <xf borderId="7" fillId="13" fontId="12" numFmtId="0" xfId="0" applyAlignment="1" applyBorder="1" applyFill="1" applyFont="1">
      <alignment readingOrder="0" shrinkToFit="0" vertical="top" wrapText="1"/>
    </xf>
    <xf borderId="27" fillId="0" fontId="24" numFmtId="0" xfId="0" applyAlignment="1" applyBorder="1" applyFont="1">
      <alignment horizontal="center" readingOrder="0" shrinkToFit="0" vertical="center" wrapText="1"/>
    </xf>
    <xf borderId="29" fillId="6" fontId="21" numFmtId="0" xfId="0" applyAlignment="1" applyBorder="1" applyFill="1" applyFont="1">
      <alignment horizontal="left" readingOrder="0" shrinkToFit="0" vertical="center" wrapText="1"/>
    </xf>
    <xf borderId="7" fillId="13" fontId="10" numFmtId="0" xfId="0" applyAlignment="1" applyBorder="1" applyFill="1" applyFont="1">
      <alignment horizontal="center" readingOrder="0" shrinkToFit="0" vertical="center" wrapText="1"/>
    </xf>
    <xf borderId="30" fillId="6" fontId="22" numFmtId="0" xfId="0" applyAlignment="1" applyBorder="1" applyFill="1" applyFont="1">
      <alignment horizontal="center" readingOrder="0" shrinkToFit="0" vertical="center" wrapText="1"/>
    </xf>
    <xf borderId="30" fillId="6" fontId="21" numFmtId="0" xfId="0" applyAlignment="1" applyBorder="1" applyFill="1" applyFont="1">
      <alignment horizontal="left" readingOrder="0" shrinkToFit="0" vertical="center" wrapText="1"/>
    </xf>
    <xf borderId="31" fillId="6" fontId="25" numFmtId="0" xfId="0" applyAlignment="1" applyBorder="1" applyFill="1" applyFont="1">
      <alignment horizontal="left" readingOrder="0" shrinkToFit="0" vertical="center" wrapText="1"/>
    </xf>
    <xf borderId="22" fillId="6" fontId="19" numFmtId="0" xfId="0" applyAlignment="1" applyBorder="1" applyFill="1" applyFont="1">
      <alignment horizontal="center" readingOrder="0" shrinkToFit="0" vertical="center" wrapText="1"/>
    </xf>
    <xf borderId="7" fillId="0" fontId="10" numFmtId="0" xfId="0" applyAlignment="1" applyBorder="1" applyFont="1">
      <alignment horizontal="center" readingOrder="0" vertical="center"/>
    </xf>
    <xf borderId="7" fillId="0" fontId="3" numFmtId="0" xfId="0" applyAlignment="1" applyBorder="1" applyFont="1">
      <alignment readingOrder="0" shrinkToFit="0" vertical="top" wrapText="1"/>
    </xf>
    <xf borderId="29" fillId="4" fontId="21" numFmtId="0" xfId="0" applyAlignment="1" applyBorder="1" applyFill="1" applyFont="1">
      <alignment horizontal="left" readingOrder="0" shrinkToFit="0" vertical="center" wrapText="1"/>
    </xf>
    <xf borderId="30" fillId="4" fontId="22" numFmtId="0" xfId="0" applyAlignment="1" applyBorder="1" applyFill="1" applyFont="1">
      <alignment horizontal="center" readingOrder="0" shrinkToFit="0" vertical="center" wrapText="1"/>
    </xf>
    <xf borderId="30" fillId="4" fontId="21" numFmtId="0" xfId="0" applyAlignment="1" applyBorder="1" applyFill="1" applyFont="1">
      <alignment horizontal="left" readingOrder="0" shrinkToFit="0" vertical="center" wrapText="1"/>
    </xf>
    <xf borderId="31" fillId="4" fontId="25" numFmtId="0" xfId="0" applyAlignment="1" applyBorder="1" applyFill="1" applyFont="1">
      <alignment horizontal="left" readingOrder="0" shrinkToFit="0" vertical="center" wrapText="1"/>
    </xf>
    <xf borderId="22" fillId="4" fontId="19" numFmtId="0" xfId="0" applyAlignment="1" applyBorder="1" applyFill="1" applyFont="1">
      <alignment horizontal="center" readingOrder="0" shrinkToFit="0" vertical="center" wrapText="1"/>
    </xf>
    <xf borderId="10" fillId="13" fontId="12" numFmtId="0" xfId="0" applyAlignment="1" applyBorder="1" applyFill="1" applyFont="1">
      <alignment readingOrder="0" shrinkToFit="0" vertical="top" wrapText="1"/>
    </xf>
    <xf borderId="7" fillId="13" fontId="26" numFmtId="0" xfId="0" applyAlignment="1" applyBorder="1" applyFill="1" applyFont="1">
      <alignment readingOrder="0" shrinkToFit="0" vertical="top" wrapText="1"/>
    </xf>
    <xf borderId="10" fillId="13" fontId="27" numFmtId="0" xfId="0" applyAlignment="1" applyBorder="1" applyFill="1" applyFont="1">
      <alignment readingOrder="0" shrinkToFit="0" vertical="top" wrapText="1"/>
    </xf>
    <xf borderId="32" fillId="5" fontId="19" numFmtId="0" xfId="0" applyAlignment="1" applyBorder="1" applyFill="1" applyFont="1">
      <alignment horizontal="center" readingOrder="0" shrinkToFit="0" vertical="center" wrapText="1"/>
    </xf>
    <xf borderId="14" fillId="0" fontId="28" numFmtId="0" xfId="0" applyAlignment="1" applyBorder="1" applyFont="1">
      <alignment horizontal="left" readingOrder="0" shrinkToFit="0" vertical="center" wrapText="1"/>
    </xf>
    <xf borderId="33" fillId="0" fontId="9" numFmtId="0" xfId="0" applyBorder="1" applyFont="1"/>
    <xf borderId="34" fillId="0" fontId="21" numFmtId="0" xfId="0" applyAlignment="1" applyBorder="1" applyFont="1">
      <alignment horizontal="left" readingOrder="0" shrinkToFit="0" vertical="center" wrapText="1"/>
    </xf>
    <xf borderId="35" fillId="0" fontId="29" numFmtId="0" xfId="0" applyAlignment="1" applyBorder="1" applyFont="1">
      <alignment horizontal="left" readingOrder="0" shrinkToFit="0" vertical="center" wrapText="1"/>
    </xf>
    <xf borderId="36" fillId="0" fontId="9" numFmtId="0" xfId="0" applyBorder="1" applyFont="1"/>
    <xf borderId="17" fillId="0" fontId="12" numFmtId="0" xfId="0" applyAlignment="1" applyBorder="1" applyFont="1">
      <alignment readingOrder="0" shrinkToFit="0" vertical="top" wrapText="1"/>
    </xf>
    <xf borderId="37" fillId="0" fontId="9" numFmtId="0" xfId="0" applyBorder="1" applyFont="1"/>
    <xf borderId="17" fillId="0" fontId="29" numFmtId="0" xfId="0" applyAlignment="1" applyBorder="1" applyFont="1">
      <alignment horizontal="left" readingOrder="0" shrinkToFit="0" vertical="center" wrapText="1"/>
    </xf>
    <xf borderId="17" fillId="0" fontId="30" numFmtId="0" xfId="0" applyAlignment="1" applyBorder="1" applyFont="1">
      <alignment horizontal="left" readingOrder="0" shrinkToFit="0" vertical="top" wrapText="1"/>
    </xf>
    <xf borderId="17" fillId="0" fontId="31" numFmtId="0" xfId="0" applyAlignment="1" applyBorder="1" applyFont="1">
      <alignment readingOrder="0" vertical="center"/>
    </xf>
    <xf borderId="24" fillId="0" fontId="3" numFmtId="0" xfId="0" applyAlignment="1" applyBorder="1" applyFont="1">
      <alignment readingOrder="0" shrinkToFit="0" vertical="top" wrapText="1"/>
    </xf>
    <xf borderId="38" fillId="0" fontId="9" numFmtId="0" xfId="0" applyBorder="1" applyFont="1"/>
    <xf borderId="26" fillId="0" fontId="12" numFmtId="0" xfId="0" applyAlignment="1" applyBorder="1" applyFont="1">
      <alignment readingOrder="0" shrinkToFit="0" vertical="top" wrapText="1"/>
    </xf>
    <xf borderId="7" fillId="13" fontId="10" numFmtId="0" xfId="0" applyAlignment="1" applyBorder="1" applyFill="1" applyFont="1">
      <alignment horizontal="center" readingOrder="0" shrinkToFit="0" textRotation="0" vertical="center" wrapText="1"/>
    </xf>
    <xf borderId="7" fillId="13" fontId="12" numFmtId="0" xfId="0" applyAlignment="1" applyBorder="1" applyFill="1" applyFont="1">
      <alignment readingOrder="0" shrinkToFit="0" vertical="top" wrapText="1"/>
    </xf>
    <xf borderId="39" fillId="0" fontId="24" numFmtId="10" xfId="0" applyAlignment="1" applyBorder="1" applyFont="1" applyNumberFormat="1">
      <alignment horizontal="center" readingOrder="0" shrinkToFit="0" vertical="center" wrapText="1"/>
    </xf>
    <xf borderId="40" fillId="0" fontId="21" numFmtId="0" xfId="0" applyAlignment="1" applyBorder="1" applyFont="1">
      <alignment horizontal="left" readingOrder="0" shrinkToFit="0" vertical="center" wrapText="1"/>
    </xf>
    <xf borderId="41" fillId="0" fontId="24" numFmtId="0" xfId="0" applyAlignment="1" applyBorder="1" applyFont="1">
      <alignment horizontal="center" readingOrder="0" shrinkToFit="0" vertical="center" wrapText="1"/>
    </xf>
    <xf borderId="42" fillId="4" fontId="19" numFmtId="0" xfId="0" applyAlignment="1" applyBorder="1" applyFill="1" applyFont="1">
      <alignment horizontal="center" readingOrder="0" shrinkToFit="0" vertical="center" wrapText="1"/>
    </xf>
    <xf borderId="0" fillId="0" fontId="4" numFmtId="0" xfId="0" applyAlignment="1" applyFont="1">
      <alignment vertical="top"/>
    </xf>
    <xf borderId="0" fillId="5" fontId="19" numFmtId="0" xfId="0" applyAlignment="1" applyFill="1" applyFont="1">
      <alignment horizontal="center" readingOrder="0" shrinkToFit="0" vertical="center" wrapText="1"/>
    </xf>
    <xf borderId="0" fillId="6" fontId="19" numFmtId="0" xfId="0" applyAlignment="1" applyFill="1" applyFont="1">
      <alignment horizontal="center" readingOrder="0" shrinkToFit="0" vertical="center" wrapText="1"/>
    </xf>
    <xf borderId="42" fillId="5" fontId="19" numFmtId="0" xfId="0" applyAlignment="1" applyBorder="1" applyFill="1" applyFont="1">
      <alignment horizontal="center" readingOrder="0" shrinkToFit="0" vertical="center" wrapText="1"/>
    </xf>
    <xf borderId="0" fillId="4" fontId="19" numFmtId="0" xfId="0" applyAlignment="1" applyFill="1" applyFont="1">
      <alignment horizontal="center" readingOrder="0" shrinkToFit="0" vertical="center" wrapText="1"/>
    </xf>
    <xf borderId="43" fillId="13" fontId="21" numFmtId="0" xfId="0" applyAlignment="1" applyBorder="1" applyFill="1" applyFont="1">
      <alignment horizontal="center" readingOrder="0" shrinkToFit="0" vertical="top" wrapText="1"/>
    </xf>
    <xf borderId="0" fillId="13" fontId="21" numFmtId="0" xfId="0" applyAlignment="1" applyFill="1" applyFont="1">
      <alignment horizontal="center" readingOrder="0" shrinkToFit="0" vertical="top" wrapText="1"/>
    </xf>
    <xf borderId="43" fillId="0" fontId="21" numFmtId="0" xfId="0" applyAlignment="1" applyBorder="1" applyFont="1">
      <alignment horizontal="left" readingOrder="0" shrinkToFit="0" vertical="center" wrapText="1"/>
    </xf>
    <xf borderId="0" fillId="0" fontId="24" numFmtId="0" xfId="0" applyAlignment="1" applyFont="1">
      <alignment horizontal="center" readingOrder="0" shrinkToFit="0" vertical="center" wrapText="1"/>
    </xf>
    <xf borderId="0" fillId="0" fontId="21" numFmtId="0" xfId="0" applyAlignment="1" applyFont="1">
      <alignment horizontal="left" readingOrder="0" shrinkToFit="0" vertical="center" wrapText="1"/>
    </xf>
    <xf borderId="44" fillId="5" fontId="21" numFmtId="0" xfId="0" applyAlignment="1" applyBorder="1" applyFill="1" applyFont="1">
      <alignment horizontal="left" readingOrder="0" shrinkToFit="0" vertical="center" wrapText="1"/>
    </xf>
    <xf borderId="45" fillId="5" fontId="22" numFmtId="0" xfId="0" applyAlignment="1" applyBorder="1" applyFill="1" applyFont="1">
      <alignment horizontal="center" readingOrder="0" shrinkToFit="0" vertical="center" wrapText="1"/>
    </xf>
    <xf borderId="45" fillId="5" fontId="21" numFmtId="0" xfId="0" applyAlignment="1" applyBorder="1" applyFill="1" applyFont="1">
      <alignment horizontal="left" readingOrder="0" shrinkToFit="0" vertical="center" wrapText="1"/>
    </xf>
    <xf borderId="46" fillId="5" fontId="25" numFmtId="0" xfId="0" applyAlignment="1" applyBorder="1" applyFill="1" applyFont="1">
      <alignment horizontal="left" readingOrder="0" shrinkToFit="0" vertical="center" wrapText="1"/>
    </xf>
    <xf borderId="21" fillId="5" fontId="25" numFmtId="0" xfId="0" applyAlignment="1" applyBorder="1" applyFill="1" applyFont="1">
      <alignment horizontal="left" readingOrder="0" shrinkToFit="0" vertical="center" wrapText="1"/>
    </xf>
    <xf borderId="0" fillId="0" fontId="24" numFmtId="10" xfId="0" applyAlignment="1" applyFont="1" applyNumberFormat="1">
      <alignment horizontal="center" readingOrder="0" shrinkToFit="0" vertical="center" wrapText="1"/>
    </xf>
    <xf borderId="47" fillId="5" fontId="21" numFmtId="0" xfId="0" applyAlignment="1" applyBorder="1" applyFill="1" applyFont="1">
      <alignment horizontal="left" readingOrder="0" shrinkToFit="0" vertical="center" wrapText="1"/>
    </xf>
    <xf borderId="48" fillId="5" fontId="22" numFmtId="0" xfId="0" applyAlignment="1" applyBorder="1" applyFill="1" applyFont="1">
      <alignment horizontal="center" readingOrder="0" shrinkToFit="0" vertical="center" wrapText="1"/>
    </xf>
    <xf borderId="48" fillId="5" fontId="21" numFmtId="0" xfId="0" applyAlignment="1" applyBorder="1" applyFill="1" applyFont="1">
      <alignment horizontal="left" readingOrder="0" shrinkToFit="0" vertical="center" wrapText="1"/>
    </xf>
    <xf borderId="49" fillId="5" fontId="25" numFmtId="0" xfId="0" applyAlignment="1" applyBorder="1" applyFill="1" applyFont="1">
      <alignment horizontal="left" readingOrder="0" shrinkToFit="0" vertical="center" wrapText="1"/>
    </xf>
    <xf borderId="7" fillId="16" fontId="13" numFmtId="0" xfId="0" applyAlignment="1" applyBorder="1" applyFill="1" applyFont="1">
      <alignment horizontal="left" readingOrder="0" shrinkToFit="0" vertical="center" wrapText="0"/>
    </xf>
    <xf borderId="16" fillId="16" fontId="32" numFmtId="0" xfId="0" applyAlignment="1" applyBorder="1" applyFill="1" applyFont="1">
      <alignment horizontal="center" readingOrder="0" shrinkToFit="0" vertical="center" wrapText="1"/>
    </xf>
    <xf borderId="8" fillId="16" fontId="33" numFmtId="0" xfId="0" applyAlignment="1" applyBorder="1" applyFill="1" applyFont="1">
      <alignment horizontal="right" readingOrder="0" shrinkToFit="0" vertical="center" wrapText="0"/>
    </xf>
    <xf borderId="0" fillId="0" fontId="19" numFmtId="0" xfId="0" applyAlignment="1" applyFont="1">
      <alignment horizontal="center" readingOrder="0" shrinkToFit="0" vertical="center" wrapText="1"/>
    </xf>
    <xf borderId="0" fillId="13" fontId="21" numFmtId="0" xfId="0" applyAlignment="1" applyFill="1" applyFont="1">
      <alignment horizontal="center" readingOrder="0" shrinkToFit="0" vertical="center" wrapText="1"/>
    </xf>
    <xf borderId="0" fillId="5" fontId="32" numFmtId="0" xfId="0" applyAlignment="1" applyFill="1" applyFont="1">
      <alignment horizontal="center" readingOrder="0" shrinkToFit="0" vertical="center" wrapText="1"/>
    </xf>
    <xf borderId="7" fillId="17" fontId="17" numFmtId="0" xfId="0" applyAlignment="1" applyBorder="1" applyFill="1" applyFont="1">
      <alignment horizontal="left" readingOrder="0" shrinkToFit="0" vertical="center" wrapText="1"/>
    </xf>
    <xf borderId="16" fillId="17" fontId="19" numFmtId="0" xfId="0" applyAlignment="1" applyBorder="1" applyFill="1" applyFont="1">
      <alignment horizontal="center" readingOrder="0" vertical="center"/>
    </xf>
    <xf borderId="16" fillId="17" fontId="34" numFmtId="0" xfId="0" applyAlignment="1" applyBorder="1" applyFill="1" applyFont="1">
      <alignment horizontal="center" readingOrder="0" vertical="center"/>
    </xf>
    <xf borderId="8" fillId="17" fontId="34" numFmtId="0" xfId="0" applyAlignment="1" applyBorder="1" applyFill="1" applyFont="1">
      <alignment horizontal="center" readingOrder="0" vertical="center"/>
    </xf>
    <xf borderId="19" fillId="5" fontId="21" numFmtId="0" xfId="0" applyAlignment="1" applyBorder="1" applyFill="1" applyFont="1">
      <alignment readingOrder="0" shrinkToFit="0" vertical="center" wrapText="1"/>
    </xf>
    <xf borderId="20" fillId="5" fontId="21" numFmtId="0" xfId="0" applyAlignment="1" applyBorder="1" applyFill="1" applyFont="1">
      <alignment readingOrder="0" shrinkToFit="0" vertical="center" wrapText="1"/>
    </xf>
    <xf borderId="21" fillId="5" fontId="25" numFmtId="0" xfId="0" applyAlignment="1" applyBorder="1" applyFill="1" applyFont="1">
      <alignment readingOrder="0" shrinkToFit="0" vertical="center" wrapText="1"/>
    </xf>
    <xf borderId="50" fillId="5" fontId="19" numFmtId="0" xfId="0" applyAlignment="1" applyBorder="1" applyFill="1" applyFont="1">
      <alignment horizontal="center" readingOrder="0" shrinkToFit="0" vertical="center" wrapText="1"/>
    </xf>
    <xf borderId="51" fillId="0" fontId="21" numFmtId="0" xfId="0" applyAlignment="1" applyBorder="1" applyFont="1">
      <alignment horizontal="left" readingOrder="0" shrinkToFit="0" vertical="center" wrapText="1"/>
    </xf>
    <xf borderId="29" fillId="8" fontId="35" numFmtId="0" xfId="0" applyAlignment="1" applyBorder="1" applyFill="1" applyFont="1">
      <alignment shrinkToFit="0" vertical="center" wrapText="1"/>
    </xf>
    <xf borderId="30" fillId="8" fontId="22" numFmtId="0" xfId="0" applyAlignment="1" applyBorder="1" applyFill="1" applyFont="1">
      <alignment horizontal="center" readingOrder="0" shrinkToFit="0" vertical="center" wrapText="1"/>
    </xf>
    <xf borderId="30" fillId="8" fontId="35" numFmtId="0" xfId="0" applyAlignment="1" applyBorder="1" applyFill="1" applyFont="1">
      <alignment readingOrder="0" shrinkToFit="0" vertical="center" wrapText="1"/>
    </xf>
    <xf borderId="31" fillId="8" fontId="36" numFmtId="0" xfId="0" applyAlignment="1" applyBorder="1" applyFill="1" applyFont="1">
      <alignment horizontal="left" readingOrder="0" shrinkToFit="0" vertical="center" wrapText="1"/>
    </xf>
    <xf borderId="52" fillId="8" fontId="19" numFmtId="0" xfId="0" applyAlignment="1" applyBorder="1" applyFill="1" applyFont="1">
      <alignment horizontal="center" readingOrder="0" shrinkToFit="0" vertical="center" wrapText="1"/>
    </xf>
    <xf borderId="53" fillId="0" fontId="21" numFmtId="0" xfId="0" applyAlignment="1" applyBorder="1" applyFont="1">
      <alignment horizontal="left" readingOrder="0" shrinkToFit="0" vertical="center" wrapText="1"/>
    </xf>
    <xf borderId="54" fillId="0" fontId="24" numFmtId="0" xfId="0" applyAlignment="1" applyBorder="1" applyFont="1">
      <alignment horizontal="center" readingOrder="0" shrinkToFit="0" vertical="center" wrapText="1"/>
    </xf>
    <xf borderId="29" fillId="5" fontId="35" numFmtId="0" xfId="0" applyAlignment="1" applyBorder="1" applyFill="1" applyFont="1">
      <alignment readingOrder="0" shrinkToFit="0" vertical="center" wrapText="1"/>
    </xf>
    <xf borderId="30" fillId="5" fontId="35" numFmtId="0" xfId="0" applyAlignment="1" applyBorder="1" applyFill="1" applyFont="1">
      <alignment readingOrder="0" shrinkToFit="0" vertical="center" wrapText="1"/>
    </xf>
    <xf borderId="31" fillId="5" fontId="36" numFmtId="0" xfId="0" applyAlignment="1" applyBorder="1" applyFill="1" applyFont="1">
      <alignment horizontal="left" readingOrder="0" shrinkToFit="0" vertical="center" wrapText="1"/>
    </xf>
    <xf borderId="55" fillId="5" fontId="19" numFmtId="0" xfId="0" applyAlignment="1" applyBorder="1" applyFill="1" applyFont="1">
      <alignment horizontal="center" readingOrder="0" shrinkToFit="0" vertical="center" wrapText="1"/>
    </xf>
    <xf borderId="56" fillId="0" fontId="21" numFmtId="0" xfId="0" applyAlignment="1" applyBorder="1" applyFont="1">
      <alignment horizontal="left" readingOrder="0" shrinkToFit="0" vertical="center" wrapText="1"/>
    </xf>
    <xf borderId="22" fillId="8" fontId="19" numFmtId="0" xfId="0" applyAlignment="1" applyBorder="1" applyFill="1" applyFont="1">
      <alignment horizontal="center" readingOrder="0" shrinkToFit="0" vertical="center" wrapText="1"/>
    </xf>
    <xf borderId="0" fillId="13" fontId="36" numFmtId="0" xfId="0" applyAlignment="1" applyFill="1" applyFont="1">
      <alignment horizontal="center" readingOrder="0" shrinkToFit="0" vertical="top" wrapText="1"/>
    </xf>
    <xf borderId="29" fillId="8" fontId="35" numFmtId="0" xfId="0" applyAlignment="1" applyBorder="1" applyFill="1" applyFont="1">
      <alignment readingOrder="0" shrinkToFit="0" vertical="center" wrapText="1"/>
    </xf>
    <xf borderId="22" fillId="8" fontId="19" numFmtId="0" xfId="0" applyAlignment="1" applyBorder="1" applyFill="1" applyFont="1">
      <alignment horizontal="center" readingOrder="0" vertical="center"/>
    </xf>
    <xf borderId="0" fillId="13" fontId="36" numFmtId="0" xfId="0" applyAlignment="1" applyFill="1" applyFont="1">
      <alignment horizontal="left" readingOrder="0" vertical="center"/>
    </xf>
    <xf borderId="29" fillId="5" fontId="35" numFmtId="0" xfId="0" applyAlignment="1" applyBorder="1" applyFill="1" applyFont="1">
      <alignment shrinkToFit="0" vertical="center" wrapText="1"/>
    </xf>
    <xf borderId="22" fillId="5" fontId="19" numFmtId="0" xfId="0" applyAlignment="1" applyBorder="1" applyFill="1" applyFont="1">
      <alignment horizontal="center" readingOrder="0" shrinkToFit="0" textRotation="0" vertical="center" wrapText="1"/>
    </xf>
    <xf borderId="0" fillId="13" fontId="34" numFmtId="0" xfId="0" applyAlignment="1" applyFill="1" applyFont="1">
      <alignment horizontal="center" readingOrder="0" shrinkToFit="0" textRotation="0" vertical="center" wrapText="1"/>
    </xf>
    <xf borderId="22" fillId="8" fontId="19" numFmtId="0" xfId="0" applyAlignment="1" applyBorder="1" applyFill="1" applyFont="1">
      <alignment horizontal="center" readingOrder="0" shrinkToFit="0" textRotation="0" vertical="center" wrapText="1"/>
    </xf>
    <xf borderId="0" fillId="0" fontId="37" numFmtId="0" xfId="0" applyFont="1"/>
    <xf borderId="0" fillId="5" fontId="19" numFmtId="0" xfId="0" applyAlignment="1" applyFill="1" applyFont="1">
      <alignment horizontal="center" readingOrder="0" shrinkToFit="0" textRotation="0" vertical="center" wrapText="1"/>
    </xf>
    <xf borderId="43" fillId="13" fontId="34" numFmtId="0" xfId="0" applyAlignment="1" applyBorder="1" applyFill="1" applyFont="1">
      <alignment horizontal="center" shrinkToFit="0" textRotation="0" vertical="center" wrapText="1"/>
    </xf>
    <xf borderId="0" fillId="13" fontId="34" numFmtId="0" xfId="0" applyAlignment="1" applyFill="1" applyFont="1">
      <alignment horizontal="center" shrinkToFit="0" textRotation="0" vertical="center" wrapText="1"/>
    </xf>
    <xf borderId="31" fillId="8" fontId="38" numFmtId="0" xfId="0" applyAlignment="1" applyBorder="1" applyFill="1" applyFont="1">
      <alignment horizontal="left" readingOrder="0" shrinkToFit="0" vertical="center" wrapText="1"/>
    </xf>
    <xf borderId="0" fillId="8" fontId="19" numFmtId="0" xfId="0" applyAlignment="1" applyFill="1" applyFont="1">
      <alignment horizontal="center" readingOrder="0" shrinkToFit="0" vertical="center" wrapText="1"/>
    </xf>
    <xf borderId="29" fillId="6" fontId="35" numFmtId="0" xfId="0" applyAlignment="1" applyBorder="1" applyFill="1" applyFont="1">
      <alignment readingOrder="0" shrinkToFit="0" vertical="center" wrapText="1"/>
    </xf>
    <xf borderId="30" fillId="6" fontId="35" numFmtId="0" xfId="0" applyAlignment="1" applyBorder="1" applyFill="1" applyFont="1">
      <alignment readingOrder="0" shrinkToFit="0" vertical="center" wrapText="1"/>
    </xf>
    <xf borderId="31" fillId="6" fontId="36" numFmtId="0" xfId="0" applyAlignment="1" applyBorder="1" applyFill="1" applyFont="1">
      <alignment horizontal="left" readingOrder="0" shrinkToFit="0" vertical="center" wrapText="1"/>
    </xf>
    <xf borderId="0" fillId="8" fontId="19" numFmtId="0" xfId="0" applyAlignment="1" applyFill="1" applyFont="1">
      <alignment horizontal="center" readingOrder="0" vertical="center"/>
    </xf>
    <xf borderId="44" fillId="5" fontId="35" numFmtId="0" xfId="0" applyAlignment="1" applyBorder="1" applyFill="1" applyFont="1">
      <alignment horizontal="left" readingOrder="0" shrinkToFit="0" vertical="center" wrapText="1"/>
    </xf>
    <xf borderId="45" fillId="5" fontId="35" numFmtId="0" xfId="0" applyAlignment="1" applyBorder="1" applyFill="1" applyFont="1">
      <alignment readingOrder="0" shrinkToFit="0" vertical="center" wrapText="1"/>
    </xf>
    <xf borderId="45" fillId="5" fontId="35" numFmtId="0" xfId="0" applyAlignment="1" applyBorder="1" applyFill="1" applyFont="1">
      <alignment horizontal="left" readingOrder="0" shrinkToFit="0" vertical="center" wrapText="1"/>
    </xf>
    <xf borderId="46" fillId="5" fontId="36" numFmtId="0" xfId="0" applyAlignment="1" applyBorder="1" applyFill="1" applyFont="1">
      <alignment horizontal="left" readingOrder="0" shrinkToFit="0" vertical="center" wrapText="1"/>
    </xf>
    <xf borderId="57" fillId="5" fontId="19" numFmtId="0" xfId="0" applyAlignment="1" applyBorder="1" applyFill="1" applyFont="1">
      <alignment horizontal="center" readingOrder="0" shrinkToFit="0" vertical="center" wrapText="1"/>
    </xf>
    <xf borderId="7" fillId="14" fontId="13" numFmtId="0" xfId="0" applyAlignment="1" applyBorder="1" applyFill="1" applyFont="1">
      <alignment horizontal="left" readingOrder="0" shrinkToFit="0" vertical="center" wrapText="0"/>
    </xf>
    <xf borderId="16" fillId="14" fontId="32" numFmtId="0" xfId="0" applyAlignment="1" applyBorder="1" applyFill="1" applyFont="1">
      <alignment horizontal="center" readingOrder="0" shrinkToFit="0" vertical="center" wrapText="1"/>
    </xf>
    <xf borderId="8" fillId="14" fontId="33" numFmtId="0" xfId="0" applyAlignment="1" applyBorder="1" applyFill="1" applyFont="1">
      <alignment horizontal="right" readingOrder="0" shrinkToFit="0" vertical="center" wrapText="0"/>
    </xf>
    <xf borderId="0" fillId="5" fontId="39" numFmtId="0" xfId="0" applyAlignment="1" applyFill="1" applyFont="1">
      <alignment horizontal="center" readingOrder="0" shrinkToFit="0" vertical="center" wrapText="0"/>
    </xf>
    <xf borderId="7" fillId="18" fontId="17" numFmtId="0" xfId="0" applyAlignment="1" applyBorder="1" applyFill="1" applyFont="1">
      <alignment horizontal="left" readingOrder="0" shrinkToFit="0" vertical="center" wrapText="0"/>
    </xf>
    <xf borderId="16" fillId="18" fontId="34" numFmtId="0" xfId="0" applyAlignment="1" applyBorder="1" applyFill="1" applyFont="1">
      <alignment horizontal="center" readingOrder="0" shrinkToFit="0" vertical="center" wrapText="1"/>
    </xf>
    <xf borderId="8" fillId="18" fontId="34" numFmtId="0" xfId="0" applyAlignment="1" applyBorder="1" applyFill="1" applyFont="1">
      <alignment horizontal="center" readingOrder="0" shrinkToFit="0" vertical="center" wrapText="1"/>
    </xf>
    <xf borderId="29" fillId="9" fontId="21" numFmtId="0" xfId="0" applyAlignment="1" applyBorder="1" applyFill="1" applyFont="1">
      <alignment horizontal="left" readingOrder="0" shrinkToFit="0" vertical="center" wrapText="1"/>
    </xf>
    <xf borderId="30" fillId="9" fontId="22" numFmtId="0" xfId="0" applyAlignment="1" applyBorder="1" applyFill="1" applyFont="1">
      <alignment horizontal="center" readingOrder="0" shrinkToFit="0" vertical="center" wrapText="1"/>
    </xf>
    <xf borderId="30" fillId="9" fontId="21" numFmtId="0" xfId="0" applyAlignment="1" applyBorder="1" applyFill="1" applyFont="1">
      <alignment horizontal="left" readingOrder="0" shrinkToFit="0" vertical="center" wrapText="1"/>
    </xf>
    <xf borderId="31" fillId="9" fontId="25" numFmtId="0" xfId="0" applyAlignment="1" applyBorder="1" applyFill="1" applyFont="1">
      <alignment horizontal="left" readingOrder="0" shrinkToFit="0" vertical="center" wrapText="1"/>
    </xf>
    <xf borderId="52" fillId="9" fontId="19" numFmtId="0" xfId="0" applyAlignment="1" applyBorder="1" applyFill="1" applyFont="1">
      <alignment horizontal="center" readingOrder="0" shrinkToFit="0" vertical="center" wrapText="1"/>
    </xf>
    <xf borderId="31" fillId="5" fontId="21" numFmtId="0" xfId="0" applyAlignment="1" applyBorder="1" applyFill="1" applyFont="1">
      <alignment horizontal="left" readingOrder="0" shrinkToFit="0" vertical="center" wrapText="1"/>
    </xf>
    <xf borderId="31" fillId="9" fontId="25" numFmtId="0" xfId="0" applyAlignment="1" applyBorder="1" applyFill="1" applyFont="1">
      <alignment horizontal="left" shrinkToFit="0" vertical="center" wrapText="1"/>
    </xf>
    <xf borderId="22" fillId="9" fontId="19" numFmtId="0" xfId="0" applyAlignment="1" applyBorder="1" applyFill="1" applyFont="1">
      <alignment horizontal="center" readingOrder="0" shrinkToFit="0" vertical="center" wrapText="1"/>
    </xf>
    <xf borderId="0" fillId="13" fontId="25" numFmtId="0" xfId="0" applyAlignment="1" applyFill="1" applyFont="1">
      <alignment horizontal="center" shrinkToFit="0" vertical="top" wrapText="1"/>
    </xf>
    <xf borderId="31" fillId="9" fontId="21" numFmtId="0" xfId="0" applyAlignment="1" applyBorder="1" applyFill="1" applyFont="1">
      <alignment horizontal="left" readingOrder="0" shrinkToFit="0" vertical="center" wrapText="1"/>
    </xf>
    <xf borderId="30" fillId="9" fontId="35" numFmtId="0" xfId="0" applyAlignment="1" applyBorder="1" applyFill="1" applyFont="1">
      <alignment readingOrder="0" shrinkToFit="0" vertical="center" wrapText="1"/>
    </xf>
    <xf borderId="0" fillId="13" fontId="25" numFmtId="0" xfId="0" applyAlignment="1" applyFill="1" applyFont="1">
      <alignment horizontal="left" shrinkToFit="0" vertical="center" wrapText="1"/>
    </xf>
    <xf borderId="58" fillId="5" fontId="19" numFmtId="0" xfId="0" applyAlignment="1" applyBorder="1" applyFill="1" applyFont="1">
      <alignment horizontal="center" readingOrder="0" shrinkToFit="0" vertical="center" wrapText="1"/>
    </xf>
    <xf borderId="0" fillId="13" fontId="25" numFmtId="0" xfId="0" applyAlignment="1" applyFill="1" applyFont="1">
      <alignment horizontal="left" readingOrder="0" shrinkToFit="0" vertical="center" wrapText="1"/>
    </xf>
    <xf borderId="7" fillId="18" fontId="17" numFmtId="0" xfId="0" applyAlignment="1" applyBorder="1" applyFill="1" applyFont="1">
      <alignment horizontal="left" readingOrder="0" shrinkToFit="0" vertical="center" wrapText="1"/>
    </xf>
    <xf borderId="16" fillId="18" fontId="17" numFmtId="0" xfId="0" applyAlignment="1" applyBorder="1" applyFill="1" applyFont="1">
      <alignment horizontal="left" readingOrder="0" shrinkToFit="0" vertical="center" wrapText="1"/>
    </xf>
    <xf borderId="8" fillId="18" fontId="17" numFmtId="0" xfId="0" applyAlignment="1" applyBorder="1" applyFill="1" applyFont="1">
      <alignment horizontal="left" readingOrder="0" shrinkToFit="0" vertical="center" wrapText="1"/>
    </xf>
    <xf borderId="0" fillId="13" fontId="25" numFmtId="0" xfId="0" applyAlignment="1" applyFill="1" applyFont="1">
      <alignment horizontal="center" readingOrder="0" shrinkToFit="0" vertical="top" wrapText="1"/>
    </xf>
    <xf borderId="31" fillId="6" fontId="21" numFmtId="0" xfId="0" applyAlignment="1" applyBorder="1" applyFill="1" applyFont="1">
      <alignment horizontal="left" readingOrder="0" shrinkToFit="0" vertical="center" wrapText="1"/>
    </xf>
    <xf borderId="29" fillId="5" fontId="21" numFmtId="0" xfId="0" applyAlignment="1" applyBorder="1" applyFill="1" applyFont="1">
      <alignment shrinkToFit="0" vertical="center" wrapText="1"/>
    </xf>
    <xf borderId="30" fillId="5" fontId="21" numFmtId="0" xfId="0" applyAlignment="1" applyBorder="1" applyFill="1" applyFont="1">
      <alignment readingOrder="0" shrinkToFit="0" vertical="center" wrapText="1"/>
    </xf>
    <xf borderId="31" fillId="5" fontId="37" numFmtId="0" xfId="0" applyAlignment="1" applyBorder="1" applyFill="1" applyFont="1">
      <alignment shrinkToFit="0" vertical="center" wrapText="1"/>
    </xf>
    <xf borderId="29" fillId="6" fontId="21" numFmtId="0" xfId="0" applyAlignment="1" applyBorder="1" applyFill="1" applyFont="1">
      <alignment shrinkToFit="0" vertical="center" wrapText="1"/>
    </xf>
    <xf borderId="30" fillId="6" fontId="21" numFmtId="0" xfId="0" applyAlignment="1" applyBorder="1" applyFill="1" applyFont="1">
      <alignment readingOrder="0" shrinkToFit="0" vertical="center" wrapText="1"/>
    </xf>
    <xf borderId="31" fillId="6" fontId="37" numFmtId="0" xfId="0" applyAlignment="1" applyBorder="1" applyFill="1" applyFont="1">
      <alignment shrinkToFit="0" vertical="center" wrapText="1"/>
    </xf>
    <xf borderId="29" fillId="5" fontId="21" numFmtId="0" xfId="0" applyAlignment="1" applyBorder="1" applyFill="1" applyFont="1">
      <alignment readingOrder="0" shrinkToFit="0" vertical="center" wrapText="1"/>
    </xf>
    <xf borderId="29" fillId="6" fontId="21" numFmtId="0" xfId="0" applyAlignment="1" applyBorder="1" applyFill="1" applyFont="1">
      <alignment readingOrder="0" shrinkToFit="0" vertical="center" wrapText="1"/>
    </xf>
    <xf borderId="31" fillId="9" fontId="25" numFmtId="0" xfId="0" applyAlignment="1" applyBorder="1" applyFill="1" applyFont="1">
      <alignment horizontal="left" readingOrder="0" shrinkToFit="0" vertical="center" wrapText="1"/>
    </xf>
    <xf borderId="0" fillId="9" fontId="19" numFmtId="0" xfId="0" applyAlignment="1" applyFill="1" applyFont="1">
      <alignment horizontal="center" readingOrder="0" shrinkToFit="0" textRotation="0" vertical="center" wrapText="1"/>
    </xf>
    <xf borderId="0" fillId="9" fontId="19" numFmtId="0" xfId="0" applyAlignment="1" applyFill="1" applyFont="1">
      <alignment horizontal="center" readingOrder="0" shrinkToFit="0" vertical="center" wrapText="1"/>
    </xf>
    <xf borderId="0" fillId="5" fontId="19" numFmtId="0" xfId="0" applyAlignment="1" applyFill="1" applyFont="1">
      <alignment horizontal="center" readingOrder="0" vertical="center"/>
    </xf>
    <xf borderId="59" fillId="13" fontId="25" numFmtId="0" xfId="0" applyAlignment="1" applyBorder="1" applyFill="1" applyFont="1">
      <alignment shrinkToFit="0" vertical="center" wrapText="1"/>
    </xf>
    <xf borderId="0" fillId="13" fontId="25" numFmtId="0" xfId="0" applyAlignment="1" applyFill="1" applyFont="1">
      <alignment shrinkToFit="0" vertical="center" wrapText="1"/>
    </xf>
    <xf borderId="60" fillId="5" fontId="21" numFmtId="0" xfId="0" applyAlignment="1" applyBorder="1" applyFill="1" applyFont="1">
      <alignment horizontal="left" readingOrder="0" shrinkToFit="0" vertical="center" wrapText="1"/>
    </xf>
    <xf borderId="61" fillId="5" fontId="22" numFmtId="0" xfId="0" applyAlignment="1" applyBorder="1" applyFill="1" applyFont="1">
      <alignment horizontal="center" readingOrder="0" shrinkToFit="0" vertical="center" wrapText="1"/>
    </xf>
    <xf borderId="61" fillId="5" fontId="21" numFmtId="0" xfId="0" applyAlignment="1" applyBorder="1" applyFill="1" applyFont="1">
      <alignment horizontal="left" readingOrder="0" shrinkToFit="0" vertical="center" wrapText="1"/>
    </xf>
    <xf borderId="62" fillId="5" fontId="25" numFmtId="0" xfId="0" applyAlignment="1" applyBorder="1" applyFill="1" applyFont="1">
      <alignment horizontal="left" readingOrder="0" shrinkToFit="0" vertical="center" wrapText="1"/>
    </xf>
    <xf borderId="31" fillId="5" fontId="40" numFmtId="0" xfId="0" applyAlignment="1" applyBorder="1" applyFill="1" applyFont="1">
      <alignment horizontal="left" readingOrder="0" shrinkToFit="0" vertical="center" wrapText="1"/>
    </xf>
    <xf borderId="31" fillId="5" fontId="41" numFmtId="0" xfId="0" applyAlignment="1" applyBorder="1" applyFill="1" applyFont="1">
      <alignment horizontal="left" readingOrder="0" shrinkToFit="0" vertical="center" wrapText="1"/>
    </xf>
    <xf borderId="20" fillId="9" fontId="21" numFmtId="0" xfId="0" applyAlignment="1" applyBorder="1" applyFill="1" applyFont="1">
      <alignment horizontal="left" readingOrder="0" shrinkToFit="0" vertical="center" wrapText="1"/>
    </xf>
    <xf borderId="29" fillId="9" fontId="35" numFmtId="0" xfId="0" applyAlignment="1" applyBorder="1" applyFill="1" applyFont="1">
      <alignment horizontal="left" readingOrder="0" shrinkToFit="0" vertical="center" wrapText="1"/>
    </xf>
    <xf borderId="31" fillId="9" fontId="42" numFmtId="0" xfId="0" applyAlignment="1" applyBorder="1" applyFill="1" applyFont="1">
      <alignment horizontal="left" readingOrder="0" shrinkToFit="0" vertical="center" wrapText="1"/>
    </xf>
    <xf borderId="31" fillId="9" fontId="41" numFmtId="0" xfId="0" applyAlignment="1" applyBorder="1" applyFill="1" applyFont="1">
      <alignment horizontal="left" readingOrder="0" shrinkToFit="0" vertical="center" wrapText="1"/>
    </xf>
    <xf borderId="22" fillId="6" fontId="19" numFmtId="0" xfId="0" applyAlignment="1" applyBorder="1" applyFill="1" applyFont="1">
      <alignment horizontal="center" readingOrder="0" shrinkToFit="0" textRotation="0" vertical="center" wrapText="1"/>
    </xf>
    <xf borderId="0" fillId="9" fontId="19" numFmtId="0" xfId="0" applyAlignment="1" applyFill="1" applyFont="1">
      <alignment horizontal="center" shrinkToFit="0" textRotation="0" vertical="center" wrapText="1"/>
    </xf>
    <xf borderId="0" fillId="6" fontId="19" numFmtId="0" xfId="0" applyAlignment="1" applyFill="1" applyFont="1">
      <alignment horizontal="center" readingOrder="0" shrinkToFit="0" textRotation="0" vertical="center" wrapText="1"/>
    </xf>
    <xf borderId="0" fillId="5" fontId="19" numFmtId="0" xfId="0" applyAlignment="1" applyFill="1" applyFont="1">
      <alignment horizontal="center" shrinkToFit="0" textRotation="0" vertical="center" wrapText="1"/>
    </xf>
    <xf borderId="0" fillId="9" fontId="19" numFmtId="0" xfId="0" applyAlignment="1" applyFill="1" applyFont="1">
      <alignment horizontal="center" shrinkToFit="0" vertical="center" wrapText="1"/>
    </xf>
    <xf borderId="0" fillId="5" fontId="19" numFmtId="0" xfId="0" applyAlignment="1" applyFill="1" applyFont="1">
      <alignment horizontal="center" shrinkToFit="0" vertical="center" wrapText="1"/>
    </xf>
    <xf borderId="0" fillId="6" fontId="19" numFmtId="0" xfId="0" applyAlignment="1" applyFill="1" applyFont="1">
      <alignment horizontal="center" readingOrder="0" vertical="center"/>
    </xf>
    <xf borderId="0" fillId="5" fontId="19" numFmtId="0" xfId="0" applyAlignment="1" applyFill="1" applyFont="1">
      <alignment horizontal="center" vertical="center"/>
    </xf>
    <xf borderId="44" fillId="9" fontId="21" numFmtId="0" xfId="0" applyAlignment="1" applyBorder="1" applyFill="1" applyFont="1">
      <alignment horizontal="left" readingOrder="0" shrinkToFit="0" vertical="center" wrapText="1"/>
    </xf>
    <xf borderId="45" fillId="9" fontId="22" numFmtId="0" xfId="0" applyAlignment="1" applyBorder="1" applyFill="1" applyFont="1">
      <alignment horizontal="center" readingOrder="0" shrinkToFit="0" vertical="center" wrapText="1"/>
    </xf>
    <xf borderId="45" fillId="9" fontId="21" numFmtId="0" xfId="0" applyAlignment="1" applyBorder="1" applyFill="1" applyFont="1">
      <alignment horizontal="left" readingOrder="0" shrinkToFit="0" vertical="center" wrapText="1"/>
    </xf>
    <xf borderId="46" fillId="9" fontId="25" numFmtId="0" xfId="0" applyAlignment="1" applyBorder="1" applyFill="1" applyFont="1">
      <alignment horizontal="left" readingOrder="0" shrinkToFit="0" vertical="center" wrapText="1"/>
    </xf>
    <xf borderId="57" fillId="9" fontId="19" numFmtId="0" xfId="0" applyAlignment="1" applyBorder="1" applyFill="1" applyFont="1">
      <alignment horizontal="center" shrinkToFit="0" vertical="center" wrapText="1"/>
    </xf>
    <xf borderId="51" fillId="5" fontId="21" numFmtId="0" xfId="0" applyAlignment="1" applyBorder="1" applyFill="1" applyFont="1">
      <alignment horizontal="left" readingOrder="0" shrinkToFit="0" vertical="center" wrapText="1"/>
    </xf>
    <xf borderId="63" fillId="5" fontId="43" numFmtId="0" xfId="0" applyAlignment="1" applyBorder="1" applyFill="1" applyFont="1">
      <alignment horizontal="center" readingOrder="0" shrinkToFit="0" vertical="center" wrapText="1"/>
    </xf>
    <xf borderId="64" fillId="5" fontId="25" numFmtId="0" xfId="0" applyAlignment="1" applyBorder="1" applyFill="1" applyFont="1">
      <alignment horizontal="left" readingOrder="0" shrinkToFit="0" vertical="center" wrapText="1"/>
    </xf>
    <xf borderId="0" fillId="5" fontId="21" numFmtId="0" xfId="0" applyAlignment="1" applyFill="1" applyFont="1">
      <alignment horizontal="left" readingOrder="0" shrinkToFit="0" vertical="center" wrapText="1"/>
    </xf>
    <xf borderId="63" fillId="5" fontId="21" numFmtId="0" xfId="0" applyAlignment="1" applyBorder="1" applyFill="1" applyFont="1">
      <alignment horizontal="left" readingOrder="0" shrinkToFit="0" vertical="center" wrapText="1"/>
    </xf>
    <xf borderId="27" fillId="5" fontId="25" numFmtId="0" xfId="0" applyAlignment="1" applyBorder="1" applyFill="1" applyFont="1">
      <alignment horizontal="left" readingOrder="0" shrinkToFit="0" vertical="center" wrapText="1"/>
    </xf>
    <xf borderId="22" fillId="5" fontId="19" numFmtId="0" xfId="0" applyAlignment="1" applyBorder="1" applyFill="1" applyFont="1">
      <alignment horizontal="center" readingOrder="0" vertical="center"/>
    </xf>
    <xf borderId="53" fillId="6" fontId="21" numFmtId="0" xfId="0" applyAlignment="1" applyBorder="1" applyFill="1" applyFont="1">
      <alignment horizontal="left" readingOrder="0" shrinkToFit="0" vertical="center" wrapText="1"/>
    </xf>
    <xf borderId="65" fillId="6" fontId="43" numFmtId="0" xfId="0" applyAlignment="1" applyBorder="1" applyFill="1" applyFont="1">
      <alignment horizontal="center" readingOrder="0" shrinkToFit="0" vertical="center" wrapText="1"/>
    </xf>
    <xf borderId="66" fillId="6" fontId="25" numFmtId="0" xfId="0" applyAlignment="1" applyBorder="1" applyFill="1" applyFont="1">
      <alignment horizontal="left" readingOrder="0" shrinkToFit="0" vertical="center" wrapText="1"/>
    </xf>
    <xf borderId="67" fillId="6" fontId="21" numFmtId="0" xfId="0" applyAlignment="1" applyBorder="1" applyFill="1" applyFont="1">
      <alignment horizontal="left" readingOrder="0" shrinkToFit="0" vertical="center" wrapText="1"/>
    </xf>
    <xf borderId="65" fillId="6" fontId="21" numFmtId="0" xfId="0" applyAlignment="1" applyBorder="1" applyFill="1" applyFont="1">
      <alignment horizontal="left" readingOrder="0" shrinkToFit="0" vertical="center" wrapText="1"/>
    </xf>
    <xf borderId="54" fillId="6" fontId="25" numFmtId="0" xfId="0" applyAlignment="1" applyBorder="1" applyFill="1" applyFont="1">
      <alignment horizontal="left" readingOrder="0" shrinkToFit="0" vertical="center" wrapText="1"/>
    </xf>
    <xf borderId="22" fillId="6" fontId="19" numFmtId="0" xfId="0" applyAlignment="1" applyBorder="1" applyFill="1" applyFont="1">
      <alignment horizontal="center" readingOrder="0" vertical="center"/>
    </xf>
    <xf borderId="53" fillId="5" fontId="21" numFmtId="0" xfId="0" applyAlignment="1" applyBorder="1" applyFill="1" applyFont="1">
      <alignment horizontal="left" readingOrder="0" shrinkToFit="0" vertical="center" wrapText="1"/>
    </xf>
    <xf borderId="65" fillId="5" fontId="43" numFmtId="0" xfId="0" applyAlignment="1" applyBorder="1" applyFill="1" applyFont="1">
      <alignment horizontal="center" readingOrder="0" shrinkToFit="0" vertical="center" wrapText="1"/>
    </xf>
    <xf borderId="66" fillId="5" fontId="25" numFmtId="0" xfId="0" applyAlignment="1" applyBorder="1" applyFill="1" applyFont="1">
      <alignment horizontal="left" readingOrder="0" shrinkToFit="0" vertical="center" wrapText="1"/>
    </xf>
    <xf borderId="67" fillId="5" fontId="21" numFmtId="0" xfId="0" applyAlignment="1" applyBorder="1" applyFill="1" applyFont="1">
      <alignment horizontal="left" readingOrder="0" shrinkToFit="0" vertical="center" wrapText="1"/>
    </xf>
    <xf borderId="65" fillId="5" fontId="21" numFmtId="0" xfId="0" applyAlignment="1" applyBorder="1" applyFill="1" applyFont="1">
      <alignment horizontal="left" readingOrder="0" shrinkToFit="0" vertical="center" wrapText="1"/>
    </xf>
    <xf borderId="54" fillId="5" fontId="25" numFmtId="0" xfId="0" applyAlignment="1" applyBorder="1" applyFill="1" applyFont="1">
      <alignment horizontal="left" readingOrder="0" shrinkToFit="0" vertical="center" wrapText="1"/>
    </xf>
    <xf borderId="68" fillId="6" fontId="19" numFmtId="0" xfId="0" applyAlignment="1" applyBorder="1" applyFill="1" applyFont="1">
      <alignment horizontal="center" readingOrder="0" shrinkToFit="0" vertical="center" wrapText="1"/>
    </xf>
    <xf borderId="69" fillId="5" fontId="25" numFmtId="0" xfId="0" applyAlignment="1" applyBorder="1" applyFill="1" applyFont="1">
      <alignment horizontal="left" readingOrder="0" shrinkToFit="0" vertical="center" wrapText="1"/>
    </xf>
    <xf borderId="70" fillId="5" fontId="21" numFmtId="0" xfId="0" applyAlignment="1" applyBorder="1" applyFill="1" applyFont="1">
      <alignment horizontal="left" readingOrder="0" shrinkToFit="0" vertical="center" wrapText="1"/>
    </xf>
    <xf borderId="71" fillId="6" fontId="21" numFmtId="0" xfId="0" applyAlignment="1" applyBorder="1" applyFill="1" applyFont="1">
      <alignment horizontal="left" readingOrder="0" shrinkToFit="0" vertical="center" wrapText="1"/>
    </xf>
    <xf borderId="65" fillId="6" fontId="25" numFmtId="0" xfId="0" applyAlignment="1" applyBorder="1" applyFill="1" applyFont="1">
      <alignment horizontal="left" readingOrder="0" shrinkToFit="0" vertical="center" wrapText="1"/>
    </xf>
    <xf borderId="68" fillId="6" fontId="19" numFmtId="0" xfId="0" applyAlignment="1" applyBorder="1" applyFill="1" applyFont="1">
      <alignment horizontal="center" readingOrder="0" vertical="center"/>
    </xf>
    <xf borderId="71" fillId="5" fontId="21" numFmtId="0" xfId="0" applyAlignment="1" applyBorder="1" applyFill="1" applyFont="1">
      <alignment horizontal="left" readingOrder="0" shrinkToFit="0" vertical="center" wrapText="1"/>
    </xf>
    <xf borderId="65" fillId="5" fontId="25" numFmtId="0" xfId="0" applyAlignment="1" applyBorder="1" applyFill="1" applyFont="1">
      <alignment horizontal="left" readingOrder="0" shrinkToFit="0" vertical="center" wrapText="1"/>
    </xf>
    <xf borderId="68" fillId="5" fontId="19" numFmtId="0" xfId="0" applyAlignment="1" applyBorder="1" applyFill="1" applyFont="1">
      <alignment horizontal="center" readingOrder="0" vertical="center"/>
    </xf>
    <xf borderId="34" fillId="5" fontId="21" numFmtId="0" xfId="0" applyAlignment="1" applyBorder="1" applyFill="1" applyFont="1">
      <alignment horizontal="left" readingOrder="0" shrinkToFit="0" vertical="center" wrapText="1"/>
    </xf>
    <xf borderId="72" fillId="5" fontId="43" numFmtId="0" xfId="0" applyAlignment="1" applyBorder="1" applyFill="1" applyFont="1">
      <alignment horizontal="center" readingOrder="0" shrinkToFit="0" vertical="center" wrapText="1"/>
    </xf>
    <xf borderId="72" fillId="5" fontId="25" numFmtId="0" xfId="0" applyAlignment="1" applyBorder="1" applyFill="1" applyFont="1">
      <alignment horizontal="left" readingOrder="0" shrinkToFit="0" vertical="center" wrapText="1"/>
    </xf>
    <xf borderId="72" fillId="5" fontId="21" numFmtId="0" xfId="0" applyAlignment="1" applyBorder="1" applyFill="1" applyFont="1">
      <alignment horizontal="left" readingOrder="0" shrinkToFit="0" vertical="center" wrapText="1"/>
    </xf>
    <xf borderId="39" fillId="5" fontId="25" numFmtId="0" xfId="0" applyAlignment="1" applyBorder="1" applyFill="1" applyFont="1">
      <alignment horizontal="left" readingOrder="0" shrinkToFit="0" vertical="center" wrapText="1"/>
    </xf>
    <xf borderId="7" fillId="19" fontId="17" numFmtId="0" xfId="0" applyAlignment="1" applyBorder="1" applyFill="1" applyFont="1">
      <alignment horizontal="left" readingOrder="0" shrinkToFit="0" vertical="center" wrapText="1"/>
    </xf>
    <xf borderId="16" fillId="19" fontId="34" numFmtId="0" xfId="0" applyAlignment="1" applyBorder="1" applyFill="1" applyFont="1">
      <alignment horizontal="center" readingOrder="0" shrinkToFit="0" vertical="center" wrapText="1"/>
    </xf>
    <xf borderId="8" fillId="19" fontId="34" numFmtId="0" xfId="0" applyAlignment="1" applyBorder="1" applyFill="1" applyFont="1">
      <alignment horizontal="center" readingOrder="0" shrinkToFit="0" vertical="center" wrapText="1"/>
    </xf>
    <xf borderId="0" fillId="0" fontId="25" numFmtId="0" xfId="0" applyAlignment="1" applyFont="1">
      <alignment horizontal="center" readingOrder="0" shrinkToFit="0" vertical="center" wrapText="1"/>
    </xf>
    <xf borderId="29" fillId="12" fontId="21" numFmtId="0" xfId="0" applyAlignment="1" applyBorder="1" applyFill="1" applyFont="1">
      <alignment horizontal="left" readingOrder="0" shrinkToFit="0" vertical="center" wrapText="1"/>
    </xf>
    <xf borderId="30" fillId="12" fontId="22" numFmtId="0" xfId="0" applyAlignment="1" applyBorder="1" applyFill="1" applyFont="1">
      <alignment horizontal="center" readingOrder="0" shrinkToFit="0" vertical="center" wrapText="1"/>
    </xf>
    <xf borderId="30" fillId="12" fontId="21" numFmtId="0" xfId="0" applyAlignment="1" applyBorder="1" applyFill="1" applyFont="1">
      <alignment horizontal="left" readingOrder="0" shrinkToFit="0" vertical="center" wrapText="1"/>
    </xf>
    <xf borderId="31" fillId="12" fontId="25" numFmtId="0" xfId="0" applyAlignment="1" applyBorder="1" applyFill="1" applyFont="1">
      <alignment horizontal="left" readingOrder="0" shrinkToFit="0" vertical="center" wrapText="1"/>
    </xf>
    <xf borderId="22" fillId="12" fontId="19" numFmtId="0" xfId="0" applyAlignment="1" applyBorder="1" applyFill="1" applyFont="1">
      <alignment horizontal="center" readingOrder="0" shrinkToFit="0" vertical="center" wrapText="1"/>
    </xf>
    <xf borderId="30" fillId="5" fontId="25" numFmtId="0" xfId="0" applyAlignment="1" applyBorder="1" applyFill="1" applyFont="1">
      <alignment horizontal="left" readingOrder="0" shrinkToFit="0" vertical="center" wrapText="1"/>
    </xf>
    <xf borderId="73" fillId="0" fontId="21" numFmtId="0" xfId="0" applyAlignment="1" applyBorder="1" applyFont="1">
      <alignment horizontal="left" readingOrder="0" shrinkToFit="0" vertical="center" wrapText="1"/>
    </xf>
    <xf borderId="74" fillId="0" fontId="24" numFmtId="0" xfId="0" applyAlignment="1" applyBorder="1" applyFont="1">
      <alignment horizontal="center" readingOrder="0" shrinkToFit="0" vertical="center" wrapText="1"/>
    </xf>
    <xf borderId="0" fillId="13" fontId="25" numFmtId="0" xfId="0" applyAlignment="1" applyFill="1" applyFont="1">
      <alignment horizontal="center" readingOrder="0" shrinkToFit="0" vertical="center" wrapText="1"/>
    </xf>
    <xf borderId="31" fillId="5" fontId="21" numFmtId="0" xfId="0" applyAlignment="1" applyBorder="1" applyFill="1" applyFont="1">
      <alignment horizontal="left" readingOrder="0" shrinkToFit="0" vertical="center" wrapText="1"/>
    </xf>
    <xf borderId="0" fillId="12" fontId="19" numFmtId="0" xfId="0" applyAlignment="1" applyFill="1" applyFont="1">
      <alignment horizontal="center" shrinkToFit="0" textRotation="0" vertical="center" wrapText="1"/>
    </xf>
    <xf borderId="0" fillId="12" fontId="19" numFmtId="0" xfId="0" applyAlignment="1" applyFill="1" applyFont="1">
      <alignment horizontal="center" shrinkToFit="0" vertical="center" wrapText="1"/>
    </xf>
    <xf borderId="0" fillId="12" fontId="19" numFmtId="0" xfId="0" applyAlignment="1" applyFill="1" applyFont="1">
      <alignment horizontal="center" vertical="center"/>
    </xf>
    <xf borderId="57" fillId="5" fontId="19" numFmtId="0" xfId="0" applyAlignment="1" applyBorder="1" applyFill="1" applyFont="1">
      <alignment horizontal="center" shrinkToFit="0" vertical="center" wrapText="1"/>
    </xf>
    <xf borderId="7" fillId="19" fontId="17" numFmtId="0" xfId="0" applyAlignment="1" applyBorder="1" applyFill="1" applyFont="1">
      <alignment horizontal="left" readingOrder="0" shrinkToFit="0" vertical="center" wrapText="0"/>
    </xf>
    <xf borderId="16" fillId="19" fontId="34" numFmtId="0" xfId="0" applyAlignment="1" applyBorder="1" applyFill="1" applyFont="1">
      <alignment horizontal="left" readingOrder="0" shrinkToFit="0" vertical="center" wrapText="1"/>
    </xf>
    <xf borderId="8" fillId="19" fontId="34" numFmtId="0" xfId="0" applyAlignment="1" applyBorder="1" applyFill="1" applyFont="1">
      <alignment horizontal="left" readingOrder="0" shrinkToFit="0" vertical="center" wrapText="1"/>
    </xf>
    <xf borderId="75" fillId="0" fontId="21" numFmtId="0" xfId="0" applyAlignment="1" applyBorder="1" applyFont="1">
      <alignment horizontal="left" readingOrder="0" shrinkToFit="0" vertical="center" wrapText="1"/>
    </xf>
    <xf borderId="76" fillId="0" fontId="24" numFmtId="9" xfId="0" applyAlignment="1" applyBorder="1" applyFont="1" applyNumberFormat="1">
      <alignment horizontal="center" readingOrder="0" shrinkToFit="0" vertical="center" wrapText="1"/>
    </xf>
    <xf borderId="0" fillId="12" fontId="19" numFmtId="0" xfId="0" applyAlignment="1" applyFill="1" applyFont="1">
      <alignment horizontal="center" readingOrder="0" shrinkToFit="0" vertical="center" wrapText="1"/>
    </xf>
    <xf borderId="77" fillId="0" fontId="21" numFmtId="0" xfId="0" applyAlignment="1" applyBorder="1" applyFont="1">
      <alignment horizontal="left" readingOrder="0" shrinkToFit="0" vertical="center" wrapText="1"/>
    </xf>
    <xf borderId="78" fillId="0" fontId="24" numFmtId="0" xfId="0" applyAlignment="1" applyBorder="1" applyFont="1">
      <alignment horizontal="center" readingOrder="0" shrinkToFit="0" vertical="center" wrapText="1"/>
    </xf>
    <xf borderId="79" fillId="0" fontId="21" numFmtId="0" xfId="0" applyAlignment="1" applyBorder="1" applyFont="1">
      <alignment horizontal="left" readingOrder="0" shrinkToFit="0" vertical="center" wrapText="1"/>
    </xf>
    <xf borderId="80" fillId="0" fontId="24" numFmtId="10" xfId="0" applyAlignment="1" applyBorder="1" applyFont="1" applyNumberFormat="1">
      <alignment horizontal="center" readingOrder="0" shrinkToFit="0" vertical="center" wrapText="1"/>
    </xf>
    <xf borderId="31" fillId="12" fontId="44" numFmtId="0" xfId="0" applyAlignment="1" applyBorder="1" applyFill="1" applyFont="1">
      <alignment horizontal="left" readingOrder="0" shrinkToFit="0" vertical="center" wrapText="1"/>
    </xf>
    <xf borderId="44" fillId="12" fontId="21" numFmtId="0" xfId="0" applyAlignment="1" applyBorder="1" applyFill="1" applyFont="1">
      <alignment horizontal="left" readingOrder="0" shrinkToFit="0" vertical="center" wrapText="1"/>
    </xf>
    <xf borderId="45" fillId="12" fontId="22" numFmtId="0" xfId="0" applyAlignment="1" applyBorder="1" applyFill="1" applyFont="1">
      <alignment horizontal="center" readingOrder="0" shrinkToFit="0" vertical="center" wrapText="1"/>
    </xf>
    <xf borderId="45" fillId="12" fontId="21" numFmtId="0" xfId="0" applyAlignment="1" applyBorder="1" applyFill="1" applyFont="1">
      <alignment horizontal="left" readingOrder="0" shrinkToFit="0" vertical="center" wrapText="1"/>
    </xf>
    <xf borderId="46" fillId="12" fontId="25" numFmtId="0" xfId="0" applyAlignment="1" applyBorder="1" applyFill="1" applyFont="1">
      <alignment horizontal="left" readingOrder="0" shrinkToFit="0" vertical="center" wrapText="1"/>
    </xf>
    <xf borderId="57" fillId="12" fontId="19" numFmtId="0" xfId="0" applyAlignment="1" applyBorder="1" applyFill="1" applyFont="1">
      <alignment horizontal="center" shrinkToFit="0" vertical="center" wrapText="1"/>
    </xf>
    <xf borderId="63" fillId="5" fontId="21" numFmtId="0" xfId="0" applyAlignment="1" applyBorder="1" applyFill="1" applyFont="1">
      <alignment shrinkToFit="0" wrapText="1"/>
    </xf>
    <xf borderId="20" fillId="5" fontId="43" numFmtId="0" xfId="0" applyAlignment="1" applyBorder="1" applyFill="1" applyFont="1">
      <alignment horizontal="center" readingOrder="0" shrinkToFit="0" vertical="center" wrapText="1"/>
    </xf>
    <xf borderId="81" fillId="5" fontId="25" numFmtId="0" xfId="0" applyAlignment="1" applyBorder="1" applyFill="1" applyFont="1">
      <alignment horizontal="left" readingOrder="0" shrinkToFit="0" vertical="center" wrapText="1"/>
    </xf>
    <xf borderId="81" fillId="5" fontId="21" numFmtId="0" xfId="0" applyAlignment="1" applyBorder="1" applyFill="1" applyFont="1">
      <alignment horizontal="left" readingOrder="0" shrinkToFit="0" vertical="center" wrapText="1"/>
    </xf>
    <xf borderId="82" fillId="5" fontId="25" numFmtId="0" xfId="0" applyAlignment="1" applyBorder="1" applyFill="1" applyFont="1">
      <alignment horizontal="left" readingOrder="0" shrinkToFit="0" vertical="center" wrapText="1"/>
    </xf>
    <xf borderId="65" fillId="6" fontId="21" numFmtId="0" xfId="0" applyAlignment="1" applyBorder="1" applyFill="1" applyFont="1">
      <alignment shrinkToFit="0" wrapText="1"/>
    </xf>
    <xf borderId="30" fillId="6" fontId="43" numFmtId="0" xfId="0" applyAlignment="1" applyBorder="1" applyFill="1" applyFont="1">
      <alignment horizontal="center" readingOrder="0" shrinkToFit="0" vertical="center" wrapText="1"/>
    </xf>
    <xf borderId="83" fillId="6" fontId="25" numFmtId="0" xfId="0" applyAlignment="1" applyBorder="1" applyFill="1" applyFont="1">
      <alignment horizontal="left" readingOrder="0" shrinkToFit="0" vertical="center" wrapText="1"/>
    </xf>
    <xf borderId="83" fillId="6" fontId="21" numFmtId="0" xfId="0" applyAlignment="1" applyBorder="1" applyFill="1" applyFont="1">
      <alignment horizontal="left" readingOrder="0" shrinkToFit="0" vertical="center" wrapText="1"/>
    </xf>
    <xf borderId="84" fillId="6" fontId="25" numFmtId="0" xfId="0" applyAlignment="1" applyBorder="1" applyFill="1" applyFont="1">
      <alignment horizontal="left" readingOrder="0" shrinkToFit="0" vertical="center" wrapText="1"/>
    </xf>
    <xf borderId="65" fillId="5" fontId="21" numFmtId="0" xfId="0" applyAlignment="1" applyBorder="1" applyFill="1" applyFont="1">
      <alignment shrinkToFit="0" wrapText="1"/>
    </xf>
    <xf borderId="30" fillId="5" fontId="43" numFmtId="0" xfId="0" applyAlignment="1" applyBorder="1" applyFill="1" applyFont="1">
      <alignment horizontal="center" readingOrder="0" shrinkToFit="0" vertical="center" wrapText="1"/>
    </xf>
    <xf borderId="83" fillId="5" fontId="25" numFmtId="0" xfId="0" applyAlignment="1" applyBorder="1" applyFill="1" applyFont="1">
      <alignment horizontal="left" readingOrder="0" shrinkToFit="0" vertical="center" wrapText="1"/>
    </xf>
    <xf borderId="83" fillId="5" fontId="21" numFmtId="0" xfId="0" applyAlignment="1" applyBorder="1" applyFill="1" applyFont="1">
      <alignment horizontal="left" readingOrder="0" shrinkToFit="0" vertical="center" wrapText="1"/>
    </xf>
    <xf borderId="84" fillId="5" fontId="25" numFmtId="0" xfId="0" applyAlignment="1" applyBorder="1" applyFill="1" applyFont="1">
      <alignment horizontal="left" readingOrder="0" shrinkToFit="0" vertical="center" wrapText="1"/>
    </xf>
    <xf borderId="85" fillId="6" fontId="21" numFmtId="0" xfId="0" applyAlignment="1" applyBorder="1" applyFill="1" applyFont="1">
      <alignment shrinkToFit="0" wrapText="1"/>
    </xf>
    <xf borderId="48" fillId="6" fontId="43" numFmtId="0" xfId="0" applyAlignment="1" applyBorder="1" applyFill="1" applyFont="1">
      <alignment horizontal="center" readingOrder="0" shrinkToFit="0" vertical="center" wrapText="1"/>
    </xf>
    <xf borderId="86" fillId="6" fontId="25" numFmtId="0" xfId="0" applyAlignment="1" applyBorder="1" applyFill="1" applyFont="1">
      <alignment horizontal="left" readingOrder="0" shrinkToFit="0" vertical="center" wrapText="1"/>
    </xf>
    <xf borderId="86" fillId="6" fontId="21" numFmtId="0" xfId="0" applyAlignment="1" applyBorder="1" applyFill="1" applyFont="1">
      <alignment horizontal="left" readingOrder="0" shrinkToFit="0" vertical="center" wrapText="1"/>
    </xf>
    <xf borderId="48" fillId="6" fontId="21" numFmtId="0" xfId="0" applyAlignment="1" applyBorder="1" applyFill="1" applyFont="1">
      <alignment horizontal="left" readingOrder="0" shrinkToFit="0" vertical="center" wrapText="1"/>
    </xf>
    <xf borderId="87" fillId="6" fontId="25" numFmtId="0" xfId="0" applyAlignment="1" applyBorder="1" applyFill="1" applyFont="1">
      <alignment horizontal="left" readingOrder="0" shrinkToFit="0" vertical="center" wrapText="1"/>
    </xf>
    <xf borderId="58" fillId="6" fontId="19" numFmtId="0" xfId="0" applyAlignment="1" applyBorder="1" applyFill="1" applyFont="1">
      <alignment horizontal="center" readingOrder="0" shrinkToFit="0" vertical="center" wrapText="1"/>
    </xf>
    <xf borderId="30" fillId="12" fontId="21" numFmtId="0" xfId="0" applyAlignment="1" applyBorder="1" applyFill="1" applyFont="1">
      <alignment readingOrder="0" shrinkToFit="0" vertical="center" wrapText="1"/>
    </xf>
    <xf borderId="31" fillId="12" fontId="25" numFmtId="0" xfId="0" applyAlignment="1" applyBorder="1" applyFill="1" applyFont="1">
      <alignment readingOrder="0" shrinkToFit="0" vertical="center" wrapText="1"/>
    </xf>
    <xf borderId="31" fillId="5" fontId="25" numFmtId="0" xfId="0" applyAlignment="1" applyBorder="1" applyFill="1" applyFont="1">
      <alignment shrinkToFit="0" vertical="center" wrapText="1"/>
    </xf>
    <xf borderId="88" fillId="0" fontId="21" numFmtId="0" xfId="0" applyAlignment="1" applyBorder="1" applyFont="1">
      <alignment horizontal="left" readingOrder="0" shrinkToFit="0" vertical="center" wrapText="1"/>
    </xf>
    <xf borderId="89" fillId="0" fontId="24" numFmtId="10" xfId="0" applyAlignment="1" applyBorder="1" applyFont="1" applyNumberFormat="1">
      <alignment horizontal="center" readingOrder="0" shrinkToFit="0" vertical="center" wrapText="1"/>
    </xf>
    <xf borderId="31" fillId="6" fontId="25" numFmtId="0" xfId="0" applyAlignment="1" applyBorder="1" applyFill="1" applyFont="1">
      <alignment shrinkToFit="0" vertical="center" wrapText="1"/>
    </xf>
    <xf borderId="43" fillId="13" fontId="25" numFmtId="0" xfId="0" applyAlignment="1" applyBorder="1" applyFill="1" applyFont="1">
      <alignment horizontal="center" readingOrder="0" shrinkToFit="0" vertical="top" wrapText="1"/>
    </xf>
    <xf borderId="5" fillId="13" fontId="25" numFmtId="0" xfId="0" applyAlignment="1" applyBorder="1" applyFill="1" applyFont="1">
      <alignment horizontal="center" readingOrder="0" shrinkToFit="0" vertical="top" wrapText="1"/>
    </xf>
    <xf borderId="31" fillId="5" fontId="25" numFmtId="0" xfId="0" applyAlignment="1" applyBorder="1" applyFill="1" applyFont="1">
      <alignment readingOrder="0" shrinkToFit="0" vertical="center" wrapText="1"/>
    </xf>
    <xf borderId="0" fillId="13" fontId="25" numFmtId="0" xfId="0" applyAlignment="1" applyFill="1" applyFont="1">
      <alignment horizontal="left" readingOrder="0" shrinkToFit="0" vertical="top" wrapText="1"/>
    </xf>
    <xf borderId="19" fillId="6" fontId="21" numFmtId="0" xfId="0" applyAlignment="1" applyBorder="1" applyFill="1" applyFont="1">
      <alignment horizontal="left" readingOrder="0" shrinkToFit="0" vertical="center" wrapText="1"/>
    </xf>
    <xf borderId="19" fillId="12" fontId="21" numFmtId="0" xfId="0" applyAlignment="1" applyBorder="1" applyFill="1" applyFont="1">
      <alignment horizontal="left" readingOrder="0" shrinkToFit="0" vertical="center" wrapText="1"/>
    </xf>
    <xf borderId="31" fillId="12" fontId="25" numFmtId="0" xfId="0" applyAlignment="1" applyBorder="1" applyFill="1" applyFont="1">
      <alignment shrinkToFit="0" vertical="center" wrapText="1"/>
    </xf>
    <xf borderId="31" fillId="6" fontId="25" numFmtId="0" xfId="0" applyAlignment="1" applyBorder="1" applyFill="1" applyFont="1">
      <alignment readingOrder="0" shrinkToFit="0" vertical="center" wrapText="1"/>
    </xf>
    <xf borderId="59" fillId="13" fontId="34" numFmtId="0" xfId="0" applyAlignment="1" applyBorder="1" applyFill="1" applyFont="1">
      <alignment horizontal="center" shrinkToFit="0" textRotation="0" vertical="center" wrapText="1"/>
    </xf>
    <xf borderId="59" fillId="0" fontId="9" numFmtId="0" xfId="0" applyBorder="1" applyFont="1"/>
    <xf borderId="59" fillId="13" fontId="25" numFmtId="0" xfId="0" applyAlignment="1" applyBorder="1" applyFill="1" applyFont="1">
      <alignment vertical="center"/>
    </xf>
    <xf borderId="31" fillId="5" fontId="45" numFmtId="0" xfId="0" applyAlignment="1" applyBorder="1" applyFill="1" applyFont="1">
      <alignment readingOrder="0" shrinkToFit="0" vertical="center" wrapText="1"/>
    </xf>
    <xf borderId="59" fillId="0" fontId="4" numFmtId="0" xfId="0" applyBorder="1" applyFont="1"/>
    <xf borderId="31" fillId="6" fontId="46" numFmtId="0" xfId="0" applyAlignment="1" applyBorder="1" applyFill="1" applyFont="1">
      <alignment readingOrder="0" shrinkToFit="0" vertical="center" wrapText="1"/>
    </xf>
    <xf borderId="44" fillId="12" fontId="21" numFmtId="0" xfId="0" applyAlignment="1" applyBorder="1" applyFill="1" applyFont="1">
      <alignment horizontal="left" readingOrder="0" shrinkToFit="0" vertical="center" wrapText="1"/>
    </xf>
    <xf borderId="46" fillId="12" fontId="21" numFmtId="0" xfId="0" applyAlignment="1" applyBorder="1" applyFill="1" applyFont="1">
      <alignment horizontal="left" readingOrder="0" shrinkToFit="0" vertical="center" wrapText="1"/>
    </xf>
    <xf borderId="57" fillId="12" fontId="19" numFmtId="0" xfId="0" applyAlignment="1" applyBorder="1" applyFill="1" applyFont="1">
      <alignment horizontal="center" readingOrder="0" shrinkToFit="0" vertical="center" wrapText="1"/>
    </xf>
    <xf borderId="59" fillId="13" fontId="25" numFmtId="0" xfId="0" applyAlignment="1" applyBorder="1" applyFill="1" applyFont="1">
      <alignment readingOrder="0" shrinkToFit="0" vertical="center" wrapText="1"/>
    </xf>
    <xf borderId="0" fillId="5" fontId="13" numFmtId="0" xfId="0" applyAlignment="1" applyFill="1" applyFont="1">
      <alignment horizontal="left" readingOrder="0" shrinkToFit="0" vertical="center" wrapText="0"/>
    </xf>
    <xf borderId="0" fillId="5" fontId="47" numFmtId="0" xfId="0" applyAlignment="1" applyFill="1" applyFont="1">
      <alignment horizontal="center" readingOrder="0" shrinkToFit="0" vertical="center" wrapText="0"/>
    </xf>
    <xf borderId="0" fillId="5" fontId="33" numFmtId="0" xfId="0" applyAlignment="1" applyFill="1" applyFont="1">
      <alignment horizontal="right" readingOrder="0" shrinkToFit="0" vertical="center" wrapText="0"/>
    </xf>
    <xf borderId="0" fillId="5" fontId="48" numFmtId="0" xfId="0" applyAlignment="1" applyFill="1" applyFont="1">
      <alignment horizontal="center" readingOrder="0" shrinkToFit="0" vertical="center" wrapText="1"/>
    </xf>
    <xf borderId="7" fillId="20" fontId="34" numFmtId="0" xfId="0" applyAlignment="1" applyBorder="1" applyFill="1" applyFont="1">
      <alignment horizontal="center" readingOrder="0" shrinkToFit="0" vertical="center" wrapText="0"/>
    </xf>
    <xf borderId="16" fillId="20" fontId="34" numFmtId="0" xfId="0" applyAlignment="1" applyBorder="1" applyFill="1" applyFont="1">
      <alignment horizontal="center" readingOrder="0" shrinkToFit="0" vertical="center" wrapText="1"/>
    </xf>
    <xf borderId="8" fillId="20" fontId="34" numFmtId="0" xfId="0" applyAlignment="1" applyBorder="1" applyFill="1" applyFont="1">
      <alignment horizontal="center" readingOrder="0" shrinkToFit="0" vertical="center" wrapText="1"/>
    </xf>
    <xf borderId="90" fillId="0" fontId="21" numFmtId="0" xfId="0" applyAlignment="1" applyBorder="1" applyFont="1">
      <alignment horizontal="left" readingOrder="0" shrinkToFit="0" vertical="center" wrapText="1"/>
    </xf>
    <xf borderId="20" fillId="0" fontId="22" numFmtId="0" xfId="0" applyAlignment="1" applyBorder="1" applyFont="1">
      <alignment horizontal="center" readingOrder="0" shrinkToFit="0" vertical="center" wrapText="1"/>
    </xf>
    <xf borderId="20" fillId="0" fontId="25" numFmtId="0" xfId="0" applyAlignment="1" applyBorder="1" applyFont="1">
      <alignment horizontal="left" readingOrder="0" shrinkToFit="0" vertical="center" wrapText="1"/>
    </xf>
    <xf borderId="20" fillId="0" fontId="21" numFmtId="0" xfId="0" applyAlignment="1" applyBorder="1" applyFont="1">
      <alignment horizontal="left" readingOrder="0" shrinkToFit="0" vertical="center" wrapText="1"/>
    </xf>
    <xf borderId="91" fillId="0" fontId="25" numFmtId="0" xfId="0" applyAlignment="1" applyBorder="1" applyFont="1">
      <alignment horizontal="left" readingOrder="0" shrinkToFit="0" vertical="center" wrapText="1"/>
    </xf>
    <xf borderId="0" fillId="0" fontId="19" numFmtId="0" xfId="0" applyAlignment="1" applyFont="1">
      <alignment horizontal="center" readingOrder="0" shrinkToFit="0" vertical="center" wrapText="1"/>
    </xf>
    <xf borderId="92" fillId="0" fontId="21" numFmtId="0" xfId="0" applyAlignment="1" applyBorder="1" applyFont="1">
      <alignment horizontal="left" readingOrder="0" shrinkToFit="0" vertical="center" wrapText="1"/>
    </xf>
    <xf borderId="30" fillId="0" fontId="22" numFmtId="0" xfId="0" applyAlignment="1" applyBorder="1" applyFont="1">
      <alignment horizontal="center" readingOrder="0" shrinkToFit="0" vertical="center" wrapText="1"/>
    </xf>
    <xf borderId="30" fillId="0" fontId="25" numFmtId="0" xfId="0" applyAlignment="1" applyBorder="1" applyFont="1">
      <alignment horizontal="left" readingOrder="0" shrinkToFit="0" vertical="center" wrapText="1"/>
    </xf>
    <xf borderId="30" fillId="0" fontId="21" numFmtId="0" xfId="0" applyAlignment="1" applyBorder="1" applyFont="1">
      <alignment horizontal="left" readingOrder="0" shrinkToFit="0" vertical="center" wrapText="1"/>
    </xf>
    <xf borderId="93" fillId="0" fontId="25" numFmtId="0" xfId="0" applyAlignment="1" applyBorder="1" applyFont="1">
      <alignment horizontal="left" readingOrder="0" shrinkToFit="0" vertical="center" wrapText="1"/>
    </xf>
    <xf borderId="0" fillId="13" fontId="25" numFmtId="0" xfId="0" applyAlignment="1" applyFill="1" applyFont="1">
      <alignment vertical="center"/>
    </xf>
    <xf borderId="94" fillId="0" fontId="21" numFmtId="0" xfId="0" applyAlignment="1" applyBorder="1" applyFont="1">
      <alignment horizontal="left" readingOrder="0" shrinkToFit="0" vertical="center" wrapText="1"/>
    </xf>
    <xf borderId="95" fillId="0" fontId="22" numFmtId="0" xfId="0" applyAlignment="1" applyBorder="1" applyFont="1">
      <alignment horizontal="center" readingOrder="0" shrinkToFit="0" vertical="center" wrapText="1"/>
    </xf>
    <xf borderId="95" fillId="0" fontId="25" numFmtId="0" xfId="0" applyAlignment="1" applyBorder="1" applyFont="1">
      <alignment horizontal="left" readingOrder="0" shrinkToFit="0" vertical="center" wrapText="1"/>
    </xf>
    <xf borderId="95" fillId="0" fontId="21" numFmtId="0" xfId="0" applyAlignment="1" applyBorder="1" applyFont="1">
      <alignment horizontal="left" readingOrder="0" shrinkToFit="0" vertical="center" wrapText="1"/>
    </xf>
    <xf borderId="96" fillId="0" fontId="25" numFmtId="0" xfId="0" applyAlignment="1" applyBorder="1" applyFont="1">
      <alignment horizontal="left" readingOrder="0" shrinkToFit="0" vertical="center" wrapText="1"/>
    </xf>
    <xf borderId="7" fillId="20" fontId="34" numFmtId="0" xfId="0" applyAlignment="1" applyBorder="1" applyFill="1" applyFont="1">
      <alignment horizontal="center" readingOrder="0" shrinkToFit="0" vertical="center" wrapText="1"/>
    </xf>
  </cellXfs>
  <cellStyles count="1">
    <cellStyle xfId="0" name="Normal" builtinId="0"/>
  </cellStyles>
  <dxfs count="11">
    <dxf>
      <font/>
      <fill>
        <patternFill patternType="none"/>
      </fill>
      <border/>
    </dxf>
    <dxf>
      <font/>
      <fill>
        <patternFill patternType="solid">
          <fgColor theme="0"/>
          <bgColor theme="0"/>
        </patternFill>
      </fill>
      <border/>
    </dxf>
    <dxf>
      <font/>
      <fill>
        <patternFill patternType="solid">
          <fgColor rgb="FFFFFEE2"/>
          <bgColor rgb="FFFFFEE2"/>
        </patternFill>
      </fill>
      <border/>
    </dxf>
    <dxf>
      <font/>
      <fill>
        <patternFill patternType="solid">
          <fgColor rgb="FFFFFFFF"/>
          <bgColor rgb="FFFFFFFF"/>
        </patternFill>
      </fill>
      <border/>
    </dxf>
    <dxf>
      <font/>
      <fill>
        <patternFill patternType="solid">
          <fgColor rgb="FFFAE2E2"/>
          <bgColor rgb="FFFAE2E2"/>
        </patternFill>
      </fill>
      <border/>
    </dxf>
    <dxf>
      <font/>
      <fill>
        <patternFill patternType="solid">
          <fgColor rgb="FFE3E6F6"/>
          <bgColor rgb="FFE3E6F6"/>
        </patternFill>
      </fill>
      <border/>
    </dxf>
    <dxf>
      <font>
        <b/>
        <strike/>
        <color rgb="FFCCCCCC"/>
      </font>
      <fill>
        <patternFill patternType="solid">
          <fgColor rgb="FFF3F3F3"/>
          <bgColor rgb="FFF3F3F3"/>
        </patternFill>
      </fill>
      <border/>
    </dxf>
    <dxf>
      <font>
        <color rgb="FF5BC322"/>
      </font>
      <fill>
        <patternFill patternType="solid">
          <fgColor rgb="FFF3F3F3"/>
          <bgColor rgb="FFF3F3F3"/>
        </patternFill>
      </fill>
      <border/>
    </dxf>
    <dxf>
      <font>
        <color rgb="FFE66060"/>
      </font>
      <fill>
        <patternFill patternType="solid">
          <fgColor rgb="FFF3F3F3"/>
          <bgColor rgb="FFF3F3F3"/>
        </patternFill>
      </fill>
      <border/>
    </dxf>
    <dxf>
      <font>
        <color rgb="FFFFFFFF"/>
      </font>
      <fill>
        <patternFill patternType="solid">
          <fgColor rgb="FF5BC322"/>
          <bgColor rgb="FF5BC322"/>
        </patternFill>
      </fill>
      <border/>
    </dxf>
    <dxf>
      <font>
        <color theme="0"/>
      </font>
      <fill>
        <patternFill patternType="solid">
          <fgColor rgb="FF5BC322"/>
          <bgColor rgb="FF5BC322"/>
        </patternFill>
      </fill>
      <border/>
    </dxf>
  </dxfs>
  <tableStyles count="9">
    <tableStyle count="2" pivot="0" name="Checklist-style">
      <tableStyleElement dxfId="1" type="firstRowStripe"/>
      <tableStyleElement dxfId="2" type="secondRowStripe"/>
    </tableStyle>
    <tableStyle count="2" pivot="0" name="Checklist-style 2">
      <tableStyleElement dxfId="3" type="firstRowStripe"/>
      <tableStyleElement dxfId="4" type="secondRowStripe"/>
    </tableStyle>
    <tableStyle count="2" pivot="0" name="Checklist-style 3">
      <tableStyleElement dxfId="3" type="firstRowStripe"/>
      <tableStyleElement dxfId="5" type="secondRowStripe"/>
    </tableStyle>
    <tableStyle count="2" pivot="0" name="Checklist-style 4">
      <tableStyleElement dxfId="1" type="firstRowStripe"/>
      <tableStyleElement dxfId="2" type="secondRowStripe"/>
    </tableStyle>
    <tableStyle count="2" pivot="0" name="Checklist-style 5">
      <tableStyleElement dxfId="1" type="firstRowStripe"/>
      <tableStyleElement dxfId="2" type="secondRowStripe"/>
    </tableStyle>
    <tableStyle count="2" pivot="0" name="Checklist-style 6">
      <tableStyleElement dxfId="1" type="firstRowStripe"/>
      <tableStyleElement dxfId="2" type="secondRowStripe"/>
    </tableStyle>
    <tableStyle count="2" pivot="0" name="Checklist-style 7">
      <tableStyleElement dxfId="1" type="firstRowStripe"/>
      <tableStyleElement dxfId="2" type="secondRowStripe"/>
    </tableStyle>
    <tableStyle count="2" pivot="0" name="Checklist-style 8">
      <tableStyleElement dxfId="1" type="firstRowStripe"/>
      <tableStyleElement dxfId="2" type="secondRowStripe"/>
    </tableStyle>
    <tableStyle count="2" pivot="0" name="Checklist-style 9">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667375" cy="914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H276"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Checklist-style" showColumnStripes="0" showFirstColumn="1" showLastColumn="1" showRowStripes="1"/>
</table>
</file>

<file path=xl/tables/table2.xml><?xml version="1.0" encoding="utf-8"?>
<table xmlns="http://schemas.openxmlformats.org/spreadsheetml/2006/main" headerRowCount="0" ref="A278:G311"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Checklist-style 2" showColumnStripes="0" showFirstColumn="1" showLastColumn="1" showRowStripes="1"/>
</table>
</file>

<file path=xl/tables/table3.xml><?xml version="1.0" encoding="utf-8"?>
<table xmlns="http://schemas.openxmlformats.org/spreadsheetml/2006/main" headerRowCount="0" ref="A313:G325" displayName="Table_3" name="Table_3" id="3">
  <tableColumns count="7">
    <tableColumn name="Column1" id="1"/>
    <tableColumn name="Column2" id="2"/>
    <tableColumn name="Column3" id="3"/>
    <tableColumn name="Column4" id="4"/>
    <tableColumn name="Column5" id="5"/>
    <tableColumn name="Column6" id="6"/>
    <tableColumn name="Column7" id="7"/>
  </tableColumns>
  <tableStyleInfo name="Checklist-style 3" showColumnStripes="0" showFirstColumn="1" showLastColumn="1" showRowStripes="1"/>
</table>
</file>

<file path=xl/tables/table4.xml><?xml version="1.0" encoding="utf-8"?>
<table xmlns="http://schemas.openxmlformats.org/spreadsheetml/2006/main" headerRowCount="0" ref="A473:H474" displayName="Table_4" name="Table_4"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Checklist-style 4" showColumnStripes="0" showFirstColumn="1" showLastColumn="1" showRowStripes="1"/>
</table>
</file>

<file path=xl/tables/table5.xml><?xml version="1.0" encoding="utf-8"?>
<table xmlns="http://schemas.openxmlformats.org/spreadsheetml/2006/main" headerRowCount="0" ref="A841:H842" displayName="Table_5" name="Table_5" id="5">
  <tableColumns count="8">
    <tableColumn name="Column1" id="1"/>
    <tableColumn name="Column2" id="2"/>
    <tableColumn name="Column3" id="3"/>
    <tableColumn name="Column4" id="4"/>
    <tableColumn name="Column5" id="5"/>
    <tableColumn name="Column6" id="6"/>
    <tableColumn name="Column7" id="7"/>
    <tableColumn name="Column8" id="8"/>
  </tableColumns>
  <tableStyleInfo name="Checklist-style 5" showColumnStripes="0" showFirstColumn="1" showLastColumn="1" showRowStripes="1"/>
</table>
</file>

<file path=xl/tables/table6.xml><?xml version="1.0" encoding="utf-8"?>
<table xmlns="http://schemas.openxmlformats.org/spreadsheetml/2006/main" headerRowCount="0" ref="A927:H928" displayName="Table_6" name="Table_6" id="6">
  <tableColumns count="8">
    <tableColumn name="Column1" id="1"/>
    <tableColumn name="Column2" id="2"/>
    <tableColumn name="Column3" id="3"/>
    <tableColumn name="Column4" id="4"/>
    <tableColumn name="Column5" id="5"/>
    <tableColumn name="Column6" id="6"/>
    <tableColumn name="Column7" id="7"/>
    <tableColumn name="Column8" id="8"/>
  </tableColumns>
  <tableStyleInfo name="Checklist-style 6" showColumnStripes="0" showFirstColumn="1" showLastColumn="1" showRowStripes="1"/>
</table>
</file>

<file path=xl/tables/table7.xml><?xml version="1.0" encoding="utf-8"?>
<table xmlns="http://schemas.openxmlformats.org/spreadsheetml/2006/main" headerRowCount="0" ref="A1035:H1036" displayName="Table_7" name="Table_7" id="7">
  <tableColumns count="8">
    <tableColumn name="Column1" id="1"/>
    <tableColumn name="Column2" id="2"/>
    <tableColumn name="Column3" id="3"/>
    <tableColumn name="Column4" id="4"/>
    <tableColumn name="Column5" id="5"/>
    <tableColumn name="Column6" id="6"/>
    <tableColumn name="Column7" id="7"/>
    <tableColumn name="Column8" id="8"/>
  </tableColumns>
  <tableStyleInfo name="Checklist-style 7" showColumnStripes="0" showFirstColumn="1" showLastColumn="1" showRowStripes="1"/>
</table>
</file>

<file path=xl/tables/table8.xml><?xml version="1.0" encoding="utf-8"?>
<table xmlns="http://schemas.openxmlformats.org/spreadsheetml/2006/main" headerRowCount="0" ref="A1115:H1116" displayName="Table_8" name="Table_8" id="8">
  <tableColumns count="8">
    <tableColumn name="Column1" id="1"/>
    <tableColumn name="Column2" id="2"/>
    <tableColumn name="Column3" id="3"/>
    <tableColumn name="Column4" id="4"/>
    <tableColumn name="Column5" id="5"/>
    <tableColumn name="Column6" id="6"/>
    <tableColumn name="Column7" id="7"/>
    <tableColumn name="Column8" id="8"/>
  </tableColumns>
  <tableStyleInfo name="Checklist-style 8" showColumnStripes="0" showFirstColumn="1" showLastColumn="1" showRowStripes="1"/>
</table>
</file>

<file path=xl/tables/table9.xml><?xml version="1.0" encoding="utf-8"?>
<table xmlns="http://schemas.openxmlformats.org/spreadsheetml/2006/main" headerRowCount="0" ref="A1130:H1130" displayName="Table_9" name="Table_9" id="9">
  <tableColumns count="8">
    <tableColumn name="Column1" id="1"/>
    <tableColumn name="Column2" id="2"/>
    <tableColumn name="Column3" id="3"/>
    <tableColumn name="Column4" id="4"/>
    <tableColumn name="Column5" id="5"/>
    <tableColumn name="Column6" id="6"/>
    <tableColumn name="Column7" id="7"/>
    <tableColumn name="Column8" id="8"/>
  </tableColumns>
  <tableStyleInfo name="Checklist-style 9"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reddit.com/r/MarvelAtlas/" TargetMode="External"/><Relationship Id="rId2" Type="http://schemas.openxmlformats.org/officeDocument/2006/relationships/hyperlink" Target="http://paypal.com/paypalme/axelxyfer" TargetMode="External"/><Relationship Id="rId3" Type="http://schemas.openxmlformats.org/officeDocument/2006/relationships/hyperlink" Target="https://marvel.fandom.com/wiki/Marvel_Databas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0" Type="http://schemas.openxmlformats.org/officeDocument/2006/relationships/table" Target="../tables/table9.xml"/><Relationship Id="rId11" Type="http://schemas.openxmlformats.org/officeDocument/2006/relationships/hyperlink" Target="https://www.youtube.com/watch?v=399Ez7WHK5s" TargetMode="External"/><Relationship Id="rId22" Type="http://schemas.openxmlformats.org/officeDocument/2006/relationships/table" Target="../tables/table1.xml"/><Relationship Id="rId10" Type="http://schemas.openxmlformats.org/officeDocument/2006/relationships/hyperlink" Target="https://www.youtube.com/watch?v=kH1XlwHQv9o" TargetMode="External"/><Relationship Id="rId24" Type="http://schemas.openxmlformats.org/officeDocument/2006/relationships/table" Target="../tables/table3.xml"/><Relationship Id="rId12" Type="http://schemas.openxmlformats.org/officeDocument/2006/relationships/drawing" Target="../drawings/drawing2.xml"/><Relationship Id="rId23" Type="http://schemas.openxmlformats.org/officeDocument/2006/relationships/table" Target="../tables/table2.xml"/><Relationship Id="rId1" Type="http://schemas.openxmlformats.org/officeDocument/2006/relationships/hyperlink" Target="https://www.youtube.com/watch?v=Qvnp5KJ7F_s" TargetMode="External"/><Relationship Id="rId2" Type="http://schemas.openxmlformats.org/officeDocument/2006/relationships/hyperlink" Target="https://www.youtube.com/watch?v=Z5ezsReZcxU" TargetMode="External"/><Relationship Id="rId3" Type="http://schemas.openxmlformats.org/officeDocument/2006/relationships/hyperlink" Target="https://www.youtube.com/watch?v=MY15_rcd-IQ" TargetMode="External"/><Relationship Id="rId4" Type="http://schemas.openxmlformats.org/officeDocument/2006/relationships/hyperlink" Target="https://www.reddit.com/r/marvelstudios/comments/d7pvlj/6_deleted_scenes_spiderman_far_from_home/" TargetMode="External"/><Relationship Id="rId9" Type="http://schemas.openxmlformats.org/officeDocument/2006/relationships/hyperlink" Target="https://www.youtube.com/watch?v=1clWprLC5Ak" TargetMode="External"/><Relationship Id="rId26" Type="http://schemas.openxmlformats.org/officeDocument/2006/relationships/table" Target="../tables/table5.xml"/><Relationship Id="rId25" Type="http://schemas.openxmlformats.org/officeDocument/2006/relationships/table" Target="../tables/table4.xml"/><Relationship Id="rId28" Type="http://schemas.openxmlformats.org/officeDocument/2006/relationships/table" Target="../tables/table7.xml"/><Relationship Id="rId27" Type="http://schemas.openxmlformats.org/officeDocument/2006/relationships/table" Target="../tables/table6.xml"/><Relationship Id="rId5" Type="http://schemas.openxmlformats.org/officeDocument/2006/relationships/hyperlink" Target="https://www.youtube.com/watch?v=g7q60i_Lh_E" TargetMode="External"/><Relationship Id="rId6" Type="http://schemas.openxmlformats.org/officeDocument/2006/relationships/hyperlink" Target="https://www.youtube.com/watch?v=AFPLRIdn1pk&amp;list=RDAFPLRIdn1pk&amp;start_radio=1" TargetMode="External"/><Relationship Id="rId29" Type="http://schemas.openxmlformats.org/officeDocument/2006/relationships/table" Target="../tables/table8.xml"/><Relationship Id="rId7" Type="http://schemas.openxmlformats.org/officeDocument/2006/relationships/hyperlink" Target="https://www.youtube.com/watch?v=7qfstMhgD9U" TargetMode="External"/><Relationship Id="rId8" Type="http://schemas.openxmlformats.org/officeDocument/2006/relationships/hyperlink" Target="https://www.youtube.com/watch?v=UiMg566PRE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1" max="2" width="45.25"/>
  </cols>
  <sheetData>
    <row r="1" ht="245.25" hidden="1" customHeight="1">
      <c r="A1" s="17" t="s">
        <v>13</v>
      </c>
    </row>
    <row r="2" ht="129.0" customHeight="1">
      <c r="A2" s="29" t="s">
        <v>23</v>
      </c>
      <c r="B2" s="30"/>
    </row>
    <row r="3" ht="50.25" customHeight="1">
      <c r="A3" s="31" t="s">
        <v>26</v>
      </c>
      <c r="B3" s="30"/>
    </row>
    <row r="4" ht="958.5" customHeight="1">
      <c r="A4" s="33" t="s">
        <v>27</v>
      </c>
      <c r="B4" s="34"/>
    </row>
    <row r="5" ht="50.25" customHeight="1">
      <c r="A5" s="31" t="s">
        <v>29</v>
      </c>
      <c r="B5" s="30"/>
    </row>
    <row r="6" ht="36.75" customHeight="1">
      <c r="A6" s="39" t="s">
        <v>34</v>
      </c>
      <c r="B6" s="41" t="s">
        <v>39</v>
      </c>
    </row>
    <row r="7" ht="36.75" customHeight="1">
      <c r="A7" s="45" t="s">
        <v>40</v>
      </c>
      <c r="B7" s="47" t="s">
        <v>42</v>
      </c>
    </row>
    <row r="8" ht="36.75" customHeight="1">
      <c r="A8" s="45" t="s">
        <v>43</v>
      </c>
      <c r="B8" s="47" t="s">
        <v>45</v>
      </c>
    </row>
    <row r="9" ht="36.75" customHeight="1">
      <c r="A9" s="45" t="s">
        <v>46</v>
      </c>
      <c r="B9" s="47" t="s">
        <v>47</v>
      </c>
    </row>
    <row r="10" ht="36.75" customHeight="1">
      <c r="A10" s="45" t="s">
        <v>48</v>
      </c>
      <c r="B10" s="47" t="s">
        <v>50</v>
      </c>
    </row>
    <row r="11" ht="36.75" customHeight="1">
      <c r="A11" s="45" t="s">
        <v>51</v>
      </c>
      <c r="B11" s="47" t="s">
        <v>56</v>
      </c>
    </row>
    <row r="12" ht="36.75" customHeight="1">
      <c r="A12" s="45" t="s">
        <v>57</v>
      </c>
      <c r="B12" s="47" t="s">
        <v>58</v>
      </c>
    </row>
    <row r="13" ht="36.75" customHeight="1">
      <c r="A13" s="45" t="s">
        <v>59</v>
      </c>
      <c r="B13" s="47" t="s">
        <v>60</v>
      </c>
    </row>
    <row r="14" ht="36.75" customHeight="1">
      <c r="A14" s="45" t="s">
        <v>61</v>
      </c>
      <c r="B14" s="47" t="s">
        <v>62</v>
      </c>
    </row>
    <row r="15" ht="36.75" customHeight="1">
      <c r="A15" s="55" t="s">
        <v>63</v>
      </c>
      <c r="B15" s="56" t="s">
        <v>64</v>
      </c>
    </row>
    <row r="16" ht="50.25" customHeight="1">
      <c r="A16" s="57" t="s">
        <v>65</v>
      </c>
      <c r="B16" s="59"/>
    </row>
    <row r="17" ht="526.5" customHeight="1">
      <c r="A17" s="64" t="s">
        <v>68</v>
      </c>
      <c r="B17" s="30"/>
    </row>
    <row r="18" ht="50.25" customHeight="1">
      <c r="A18" s="67" t="s">
        <v>70</v>
      </c>
      <c r="B18" s="30"/>
    </row>
    <row r="19" ht="1139.25" customHeight="1">
      <c r="A19" s="64" t="s">
        <v>73</v>
      </c>
      <c r="B19" s="30"/>
    </row>
    <row r="20" ht="50.25" customHeight="1">
      <c r="A20" s="72" t="s">
        <v>75</v>
      </c>
      <c r="B20" s="30"/>
    </row>
    <row r="21" ht="651.0" customHeight="1">
      <c r="A21" s="73" t="s">
        <v>80</v>
      </c>
      <c r="B21" s="30"/>
    </row>
    <row r="22" ht="50.25" customHeight="1">
      <c r="A22" s="67" t="s">
        <v>83</v>
      </c>
      <c r="B22" s="30"/>
    </row>
    <row r="23" ht="869.25" customHeight="1">
      <c r="A23" s="79" t="s">
        <v>87</v>
      </c>
      <c r="B23" s="34"/>
    </row>
    <row r="24" ht="50.25" customHeight="1">
      <c r="A24" s="67" t="s">
        <v>89</v>
      </c>
      <c r="B24" s="30"/>
    </row>
    <row r="25" ht="397.5" customHeight="1">
      <c r="A25" s="80" t="s">
        <v>91</v>
      </c>
      <c r="B25" s="30"/>
    </row>
    <row r="26" ht="50.25" customHeight="1">
      <c r="A26" s="72" t="s">
        <v>97</v>
      </c>
      <c r="B26" s="30"/>
    </row>
    <row r="27" ht="201.75" customHeight="1">
      <c r="A27" s="81" t="s">
        <v>99</v>
      </c>
      <c r="B27" s="34"/>
    </row>
    <row r="28" ht="50.25" customHeight="1">
      <c r="A28" s="72" t="s">
        <v>106</v>
      </c>
      <c r="B28" s="30"/>
    </row>
    <row r="29" ht="48.0" customHeight="1">
      <c r="A29" s="83" t="s">
        <v>108</v>
      </c>
      <c r="B29" s="84"/>
    </row>
    <row r="30" ht="48.0" customHeight="1" collapsed="1">
      <c r="A30" s="86" t="s">
        <v>111</v>
      </c>
      <c r="B30" s="87"/>
    </row>
    <row r="31" ht="195.75" hidden="1" customHeight="1" outlineLevel="1">
      <c r="A31" s="88" t="s">
        <v>112</v>
      </c>
      <c r="B31" s="89"/>
    </row>
    <row r="32" ht="48.0" customHeight="1" collapsed="1">
      <c r="A32" s="90" t="s">
        <v>113</v>
      </c>
      <c r="B32" s="89"/>
    </row>
    <row r="33" ht="438.75" hidden="1" customHeight="1" outlineLevel="1">
      <c r="A33" s="88" t="s">
        <v>114</v>
      </c>
      <c r="B33" s="89"/>
    </row>
    <row r="34" ht="48.0" customHeight="1" collapsed="1">
      <c r="A34" s="90" t="s">
        <v>115</v>
      </c>
      <c r="B34" s="89"/>
    </row>
    <row r="35" ht="246.0" hidden="1" customHeight="1" outlineLevel="1">
      <c r="A35" s="88" t="s">
        <v>116</v>
      </c>
      <c r="B35" s="89"/>
    </row>
    <row r="36" ht="48.0" customHeight="1" collapsed="1">
      <c r="A36" s="90" t="s">
        <v>117</v>
      </c>
      <c r="B36" s="89"/>
    </row>
    <row r="37" ht="282.0" hidden="1" customHeight="1" outlineLevel="1">
      <c r="A37" s="91" t="s">
        <v>118</v>
      </c>
      <c r="B37" s="89"/>
    </row>
    <row r="38" ht="48.0" customHeight="1" collapsed="1">
      <c r="A38" s="92" t="s">
        <v>119</v>
      </c>
      <c r="B38" s="89"/>
    </row>
    <row r="39" ht="1154.25" hidden="1" customHeight="1" outlineLevel="1">
      <c r="A39" s="93" t="s">
        <v>120</v>
      </c>
      <c r="B39" s="94"/>
    </row>
    <row r="40" ht="50.25" customHeight="1">
      <c r="A40" s="67" t="s">
        <v>121</v>
      </c>
      <c r="B40" s="30"/>
    </row>
    <row r="41" ht="124.5" customHeight="1">
      <c r="A41" s="95" t="s">
        <v>122</v>
      </c>
      <c r="B41" s="59"/>
    </row>
    <row r="42" ht="50.25" customHeight="1">
      <c r="A42" s="31" t="s">
        <v>123</v>
      </c>
      <c r="B42" s="30"/>
    </row>
    <row r="43" ht="287.25" customHeight="1">
      <c r="A43" s="33" t="s">
        <v>124</v>
      </c>
      <c r="B43" s="34"/>
    </row>
    <row r="44" ht="50.25" customHeight="1">
      <c r="A44" s="96" t="s">
        <v>125</v>
      </c>
      <c r="B44" s="30"/>
    </row>
    <row r="45" ht="534.75" customHeight="1">
      <c r="A45" s="97" t="s">
        <v>126</v>
      </c>
      <c r="B45" s="30"/>
    </row>
  </sheetData>
  <mergeCells count="35">
    <mergeCell ref="A1:B1"/>
    <mergeCell ref="A2:B2"/>
    <mergeCell ref="A3:B3"/>
    <mergeCell ref="A4:B4"/>
    <mergeCell ref="A5:B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9:B39"/>
    <mergeCell ref="A40:B40"/>
    <mergeCell ref="A41:B41"/>
    <mergeCell ref="A42:B42"/>
    <mergeCell ref="A43:B43"/>
    <mergeCell ref="A44:B44"/>
    <mergeCell ref="A45:B45"/>
    <mergeCell ref="A32:B32"/>
    <mergeCell ref="A33:B33"/>
    <mergeCell ref="A34:B34"/>
    <mergeCell ref="A35:B35"/>
    <mergeCell ref="A36:B36"/>
    <mergeCell ref="A37:B37"/>
    <mergeCell ref="A38:B38"/>
  </mergeCells>
  <hyperlinks>
    <hyperlink display="CLICK HERE TO GO TO THE ATLAS CHECKLIST:&#10;➡️ CHECKLIST PAGE ⬅️&#10;(Sheet tabs are located at the bottom of your screen.)" location="Checklist!A1" ref="A2"/>
    <hyperlink display="🚀 Getting Started" location="'🏠WELCOME'!A16:B16" ref="A6"/>
    <hyperlink display="✅ Using the Atlas" location="'🏠WELCOME'!A18:B18" ref="A7"/>
    <hyperlink display="✨ Atlas Tools" location="'🏠WELCOME'!A20:B20" ref="A8"/>
    <hyperlink display="✏️ Editing Your Copy" location="'🏠WELCOME'!A22:B22" ref="A9"/>
    <hyperlink display="💬 Community &amp; Misc" location="'🏠WELCOME'!A24:B24" ref="A10"/>
    <hyperlink display="💖 Support the Project" location="'🏠WELCOME'!A26:B26" ref="A11"/>
    <hyperlink display="❓ FAQ" location="'🏠WELCOME'!A28:B28" ref="A12"/>
    <hyperlink display="⚖️ Legal Disclaimer" location="'🏠WELCOME'!A40:B40" ref="A13"/>
    <hyperlink display="📢 Update Info" location="'🏠WELCOME'!A42:B42" ref="A14"/>
    <hyperlink display="📝 Update Log" location="'🏠WELCOME'!A44:B44" ref="A15"/>
    <hyperlink r:id="rId1" ref="A25"/>
    <hyperlink r:id="rId2" ref="A27"/>
    <hyperlink r:id="rId3" ref="A37"/>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74.38"/>
    <col customWidth="1" min="2" max="3" width="20.88"/>
    <col customWidth="1" min="4" max="4" width="21.25"/>
    <col customWidth="1" min="5" max="5" width="20.88"/>
    <col customWidth="1" min="6" max="6" width="49.63"/>
    <col collapsed="1" customWidth="1" min="7" max="7" width="58.0"/>
    <col customWidth="1" hidden="1" min="8" max="8" width="63.38" outlineLevel="1"/>
    <col customWidth="1" min="9" max="10" width="16.38"/>
  </cols>
  <sheetData>
    <row r="1" ht="81.75" customHeight="1">
      <c r="A1" s="32"/>
      <c r="B1" s="35" t="s">
        <v>28</v>
      </c>
      <c r="C1" s="35" t="s">
        <v>30</v>
      </c>
      <c r="D1" s="35" t="s">
        <v>31</v>
      </c>
      <c r="E1" s="35" t="s">
        <v>32</v>
      </c>
      <c r="F1" s="35" t="s">
        <v>33</v>
      </c>
      <c r="G1" s="35" t="s">
        <v>35</v>
      </c>
      <c r="H1" s="36" t="s">
        <v>36</v>
      </c>
      <c r="I1" s="37" t="s">
        <v>37</v>
      </c>
      <c r="J1" s="38"/>
    </row>
    <row r="2" ht="57.0" customHeight="1">
      <c r="A2" s="40" t="s">
        <v>38</v>
      </c>
      <c r="B2" s="42"/>
      <c r="C2" s="42"/>
      <c r="D2" s="42"/>
      <c r="E2" s="43"/>
      <c r="F2" s="43"/>
      <c r="G2" s="43"/>
      <c r="H2" s="44" t="s">
        <v>41</v>
      </c>
      <c r="I2" s="46"/>
      <c r="J2" s="48"/>
    </row>
    <row r="3" ht="57.0" customHeight="1" collapsed="1">
      <c r="A3" s="49" t="s">
        <v>44</v>
      </c>
      <c r="B3" s="50" t="b">
        <v>0</v>
      </c>
      <c r="C3" s="50" t="b">
        <v>0</v>
      </c>
      <c r="D3" s="51" t="s">
        <v>49</v>
      </c>
      <c r="E3" s="51" t="s">
        <v>52</v>
      </c>
      <c r="F3" s="51" t="s">
        <v>53</v>
      </c>
      <c r="G3" s="52" t="s">
        <v>54</v>
      </c>
      <c r="H3" s="53" t="b">
        <v>0</v>
      </c>
      <c r="I3" s="54" t="s">
        <v>55</v>
      </c>
      <c r="J3" s="58">
        <f>IF(
    COUNTIFS(C3:C274, FALSE, H3:H274, FALSE) = 0,
    0,
    COUNTIFS(B3:B274, TRUE, C3:C274, FALSE, H3:H274, FALSE) /
    COUNTIFS(C3:C274, FALSE, H3:H274, FALSE)
)</f>
        <v>0</v>
      </c>
    </row>
    <row r="4" ht="57.0" hidden="1" customHeight="1" outlineLevel="1">
      <c r="A4" s="60" t="s">
        <v>66</v>
      </c>
      <c r="B4" s="61" t="b">
        <v>0</v>
      </c>
      <c r="C4" s="61" t="b">
        <v>0</v>
      </c>
      <c r="D4" s="62" t="s">
        <v>49</v>
      </c>
      <c r="E4" s="62" t="s">
        <v>67</v>
      </c>
      <c r="F4" s="62" t="s">
        <v>53</v>
      </c>
      <c r="G4" s="63"/>
      <c r="H4" s="53" t="b">
        <v>1</v>
      </c>
      <c r="I4" s="54"/>
      <c r="J4" s="65"/>
    </row>
    <row r="5" ht="57.0" hidden="1" customHeight="1" outlineLevel="1">
      <c r="A5" s="66" t="s">
        <v>69</v>
      </c>
      <c r="B5" s="68" t="b">
        <v>0</v>
      </c>
      <c r="C5" s="68" t="b">
        <v>0</v>
      </c>
      <c r="D5" s="69" t="s">
        <v>49</v>
      </c>
      <c r="E5" s="69" t="s">
        <v>67</v>
      </c>
      <c r="F5" s="69" t="s">
        <v>53</v>
      </c>
      <c r="G5" s="70"/>
      <c r="H5" s="71" t="b">
        <v>1</v>
      </c>
      <c r="I5" s="54"/>
      <c r="J5" s="65"/>
    </row>
    <row r="6" ht="57.0" hidden="1" customHeight="1" outlineLevel="1">
      <c r="A6" s="60" t="s">
        <v>71</v>
      </c>
      <c r="B6" s="61" t="b">
        <v>0</v>
      </c>
      <c r="C6" s="61" t="b">
        <v>0</v>
      </c>
      <c r="D6" s="62" t="s">
        <v>49</v>
      </c>
      <c r="E6" s="62" t="s">
        <v>67</v>
      </c>
      <c r="F6" s="62" t="s">
        <v>53</v>
      </c>
      <c r="G6" s="63"/>
      <c r="H6" s="53" t="b">
        <v>1</v>
      </c>
      <c r="I6" s="54"/>
      <c r="J6" s="65"/>
    </row>
    <row r="7" ht="57.0" hidden="1" customHeight="1" outlineLevel="1">
      <c r="A7" s="66" t="s">
        <v>72</v>
      </c>
      <c r="B7" s="68" t="b">
        <v>0</v>
      </c>
      <c r="C7" s="68" t="b">
        <v>0</v>
      </c>
      <c r="D7" s="69" t="s">
        <v>49</v>
      </c>
      <c r="E7" s="69" t="s">
        <v>67</v>
      </c>
      <c r="F7" s="69" t="s">
        <v>53</v>
      </c>
      <c r="G7" s="70"/>
      <c r="H7" s="71" t="b">
        <v>1</v>
      </c>
      <c r="I7" s="54"/>
      <c r="J7" s="65"/>
    </row>
    <row r="8" ht="57.0" hidden="1" customHeight="1" outlineLevel="1">
      <c r="A8" s="60" t="s">
        <v>74</v>
      </c>
      <c r="B8" s="61" t="b">
        <v>0</v>
      </c>
      <c r="C8" s="61" t="b">
        <v>0</v>
      </c>
      <c r="D8" s="62" t="s">
        <v>49</v>
      </c>
      <c r="E8" s="62" t="s">
        <v>67</v>
      </c>
      <c r="F8" s="62" t="s">
        <v>53</v>
      </c>
      <c r="G8" s="63"/>
      <c r="H8" s="53" t="b">
        <v>1</v>
      </c>
      <c r="I8" s="54"/>
      <c r="J8" s="65"/>
    </row>
    <row r="9" ht="57.0" hidden="1" customHeight="1" outlineLevel="1">
      <c r="A9" s="66" t="s">
        <v>76</v>
      </c>
      <c r="B9" s="68" t="b">
        <v>0</v>
      </c>
      <c r="C9" s="68" t="b">
        <v>0</v>
      </c>
      <c r="D9" s="69" t="s">
        <v>49</v>
      </c>
      <c r="E9" s="69" t="s">
        <v>67</v>
      </c>
      <c r="F9" s="69" t="s">
        <v>53</v>
      </c>
      <c r="G9" s="70"/>
      <c r="H9" s="71" t="b">
        <v>1</v>
      </c>
      <c r="I9" s="54"/>
      <c r="J9" s="65"/>
    </row>
    <row r="10" ht="57.0" hidden="1" customHeight="1" outlineLevel="1">
      <c r="A10" s="60" t="s">
        <v>77</v>
      </c>
      <c r="B10" s="61" t="b">
        <v>0</v>
      </c>
      <c r="C10" s="61" t="b">
        <v>0</v>
      </c>
      <c r="D10" s="62" t="s">
        <v>49</v>
      </c>
      <c r="E10" s="62" t="s">
        <v>67</v>
      </c>
      <c r="F10" s="62" t="s">
        <v>53</v>
      </c>
      <c r="G10" s="63"/>
      <c r="H10" s="53" t="b">
        <v>1</v>
      </c>
      <c r="I10" s="54"/>
      <c r="J10" s="65"/>
    </row>
    <row r="11" ht="57.0" hidden="1" customHeight="1" outlineLevel="1">
      <c r="A11" s="66" t="s">
        <v>78</v>
      </c>
      <c r="B11" s="68" t="b">
        <v>0</v>
      </c>
      <c r="C11" s="68" t="b">
        <v>0</v>
      </c>
      <c r="D11" s="69" t="s">
        <v>49</v>
      </c>
      <c r="E11" s="69" t="s">
        <v>67</v>
      </c>
      <c r="F11" s="69" t="s">
        <v>53</v>
      </c>
      <c r="G11" s="70"/>
      <c r="H11" s="71" t="b">
        <v>1</v>
      </c>
      <c r="I11" s="54"/>
      <c r="J11" s="65"/>
    </row>
    <row r="12" ht="57.0" hidden="1" customHeight="1" outlineLevel="1">
      <c r="A12" s="60" t="s">
        <v>79</v>
      </c>
      <c r="B12" s="61" t="b">
        <v>0</v>
      </c>
      <c r="C12" s="61" t="b">
        <v>0</v>
      </c>
      <c r="D12" s="62" t="s">
        <v>49</v>
      </c>
      <c r="E12" s="62" t="s">
        <v>67</v>
      </c>
      <c r="F12" s="62" t="s">
        <v>53</v>
      </c>
      <c r="G12" s="63"/>
      <c r="H12" s="53" t="b">
        <v>1</v>
      </c>
      <c r="I12" s="54"/>
      <c r="J12" s="65"/>
    </row>
    <row r="13" ht="57.0" hidden="1" customHeight="1" outlineLevel="1">
      <c r="A13" s="66" t="s">
        <v>81</v>
      </c>
      <c r="B13" s="68" t="b">
        <v>0</v>
      </c>
      <c r="C13" s="68" t="b">
        <v>0</v>
      </c>
      <c r="D13" s="69" t="s">
        <v>49</v>
      </c>
      <c r="E13" s="69" t="s">
        <v>67</v>
      </c>
      <c r="F13" s="69" t="s">
        <v>53</v>
      </c>
      <c r="G13" s="70"/>
      <c r="H13" s="71" t="b">
        <v>1</v>
      </c>
      <c r="I13" s="54"/>
      <c r="J13" s="65"/>
    </row>
    <row r="14" ht="57.0" hidden="1" customHeight="1" outlineLevel="1">
      <c r="A14" s="60" t="s">
        <v>82</v>
      </c>
      <c r="B14" s="61" t="b">
        <v>0</v>
      </c>
      <c r="C14" s="61" t="b">
        <v>0</v>
      </c>
      <c r="D14" s="62" t="s">
        <v>49</v>
      </c>
      <c r="E14" s="62" t="s">
        <v>67</v>
      </c>
      <c r="F14" s="62" t="s">
        <v>53</v>
      </c>
      <c r="G14" s="63"/>
      <c r="H14" s="53" t="b">
        <v>1</v>
      </c>
      <c r="I14" s="54"/>
      <c r="J14" s="65"/>
    </row>
    <row r="15" ht="57.0" hidden="1" customHeight="1" outlineLevel="1">
      <c r="A15" s="66" t="s">
        <v>84</v>
      </c>
      <c r="B15" s="68" t="b">
        <v>0</v>
      </c>
      <c r="C15" s="68" t="b">
        <v>0</v>
      </c>
      <c r="D15" s="69" t="s">
        <v>49</v>
      </c>
      <c r="E15" s="69" t="s">
        <v>67</v>
      </c>
      <c r="F15" s="69" t="s">
        <v>53</v>
      </c>
      <c r="G15" s="70"/>
      <c r="H15" s="71" t="b">
        <v>1</v>
      </c>
      <c r="I15" s="54"/>
      <c r="J15" s="65"/>
    </row>
    <row r="16" ht="57.0" hidden="1" customHeight="1" outlineLevel="1">
      <c r="A16" s="60" t="s">
        <v>85</v>
      </c>
      <c r="B16" s="61" t="b">
        <v>0</v>
      </c>
      <c r="C16" s="61" t="b">
        <v>0</v>
      </c>
      <c r="D16" s="62" t="s">
        <v>49</v>
      </c>
      <c r="E16" s="62" t="s">
        <v>67</v>
      </c>
      <c r="F16" s="62" t="s">
        <v>53</v>
      </c>
      <c r="G16" s="63"/>
      <c r="H16" s="53" t="b">
        <v>1</v>
      </c>
      <c r="I16" s="54"/>
      <c r="J16" s="65"/>
    </row>
    <row r="17" ht="57.0" customHeight="1" collapsed="1">
      <c r="A17" s="74" t="s">
        <v>86</v>
      </c>
      <c r="B17" s="75" t="b">
        <v>0</v>
      </c>
      <c r="C17" s="75" t="b">
        <v>0</v>
      </c>
      <c r="D17" s="76" t="s">
        <v>49</v>
      </c>
      <c r="E17" s="76" t="s">
        <v>52</v>
      </c>
      <c r="F17" s="76" t="s">
        <v>53</v>
      </c>
      <c r="G17" s="77"/>
      <c r="H17" s="78" t="b">
        <v>0</v>
      </c>
      <c r="I17" s="54" t="s">
        <v>88</v>
      </c>
      <c r="J17" s="65">
        <f>COUNTIF(C3:C274, TRUE)</f>
        <v>0</v>
      </c>
    </row>
    <row r="18" ht="57.0" hidden="1" customHeight="1" outlineLevel="1">
      <c r="A18" s="60" t="s">
        <v>90</v>
      </c>
      <c r="B18" s="61" t="b">
        <v>0</v>
      </c>
      <c r="C18" s="61" t="b">
        <v>0</v>
      </c>
      <c r="D18" s="62" t="s">
        <v>49</v>
      </c>
      <c r="E18" s="62" t="s">
        <v>67</v>
      </c>
      <c r="F18" s="62" t="s">
        <v>53</v>
      </c>
      <c r="G18" s="63"/>
      <c r="H18" s="53" t="b">
        <v>1</v>
      </c>
      <c r="I18" s="54"/>
      <c r="J18" s="65"/>
    </row>
    <row r="19" ht="57.0" hidden="1" customHeight="1" outlineLevel="1">
      <c r="A19" s="66" t="s">
        <v>92</v>
      </c>
      <c r="B19" s="68" t="b">
        <v>0</v>
      </c>
      <c r="C19" s="68" t="b">
        <v>0</v>
      </c>
      <c r="D19" s="69" t="s">
        <v>49</v>
      </c>
      <c r="E19" s="69" t="s">
        <v>67</v>
      </c>
      <c r="F19" s="69" t="s">
        <v>53</v>
      </c>
      <c r="G19" s="70"/>
      <c r="H19" s="71" t="b">
        <v>1</v>
      </c>
      <c r="I19" s="54"/>
      <c r="J19" s="65"/>
    </row>
    <row r="20" ht="57.0" hidden="1" customHeight="1" outlineLevel="1">
      <c r="A20" s="60" t="s">
        <v>93</v>
      </c>
      <c r="B20" s="61" t="b">
        <v>0</v>
      </c>
      <c r="C20" s="61" t="b">
        <v>0</v>
      </c>
      <c r="D20" s="62" t="s">
        <v>49</v>
      </c>
      <c r="E20" s="62" t="s">
        <v>67</v>
      </c>
      <c r="F20" s="62" t="s">
        <v>53</v>
      </c>
      <c r="G20" s="63"/>
      <c r="H20" s="53" t="b">
        <v>1</v>
      </c>
      <c r="I20" s="54"/>
      <c r="J20" s="65"/>
    </row>
    <row r="21" ht="57.0" hidden="1" customHeight="1" outlineLevel="1">
      <c r="A21" s="66" t="s">
        <v>94</v>
      </c>
      <c r="B21" s="68" t="b">
        <v>0</v>
      </c>
      <c r="C21" s="68" t="b">
        <v>0</v>
      </c>
      <c r="D21" s="69" t="s">
        <v>49</v>
      </c>
      <c r="E21" s="69" t="s">
        <v>67</v>
      </c>
      <c r="F21" s="69" t="s">
        <v>53</v>
      </c>
      <c r="G21" s="70"/>
      <c r="H21" s="71" t="b">
        <v>1</v>
      </c>
      <c r="I21" s="54"/>
      <c r="J21" s="65"/>
    </row>
    <row r="22" ht="57.0" hidden="1" customHeight="1" outlineLevel="1">
      <c r="A22" s="60" t="s">
        <v>95</v>
      </c>
      <c r="B22" s="61" t="b">
        <v>0</v>
      </c>
      <c r="C22" s="61" t="b">
        <v>0</v>
      </c>
      <c r="D22" s="62" t="s">
        <v>49</v>
      </c>
      <c r="E22" s="62" t="s">
        <v>67</v>
      </c>
      <c r="F22" s="62" t="s">
        <v>53</v>
      </c>
      <c r="G22" s="63"/>
      <c r="H22" s="53" t="b">
        <v>1</v>
      </c>
      <c r="I22" s="54"/>
      <c r="J22" s="65"/>
    </row>
    <row r="23" ht="57.0" hidden="1" customHeight="1" outlineLevel="1">
      <c r="A23" s="66" t="s">
        <v>96</v>
      </c>
      <c r="B23" s="68" t="b">
        <v>0</v>
      </c>
      <c r="C23" s="68" t="b">
        <v>0</v>
      </c>
      <c r="D23" s="69" t="s">
        <v>49</v>
      </c>
      <c r="E23" s="69" t="s">
        <v>67</v>
      </c>
      <c r="F23" s="69" t="s">
        <v>53</v>
      </c>
      <c r="G23" s="70"/>
      <c r="H23" s="71" t="b">
        <v>1</v>
      </c>
      <c r="I23" s="54"/>
      <c r="J23" s="65"/>
    </row>
    <row r="24" ht="57.0" hidden="1" customHeight="1" outlineLevel="1">
      <c r="A24" s="60" t="s">
        <v>98</v>
      </c>
      <c r="B24" s="61" t="b">
        <v>0</v>
      </c>
      <c r="C24" s="61" t="b">
        <v>0</v>
      </c>
      <c r="D24" s="62" t="s">
        <v>49</v>
      </c>
      <c r="E24" s="62" t="s">
        <v>67</v>
      </c>
      <c r="F24" s="62" t="s">
        <v>53</v>
      </c>
      <c r="G24" s="63"/>
      <c r="H24" s="53" t="b">
        <v>1</v>
      </c>
      <c r="I24" s="54"/>
      <c r="J24" s="65"/>
    </row>
    <row r="25" ht="57.0" hidden="1" customHeight="1" outlineLevel="1">
      <c r="A25" s="66" t="s">
        <v>100</v>
      </c>
      <c r="B25" s="68" t="b">
        <v>0</v>
      </c>
      <c r="C25" s="68" t="b">
        <v>0</v>
      </c>
      <c r="D25" s="69" t="s">
        <v>49</v>
      </c>
      <c r="E25" s="69" t="s">
        <v>67</v>
      </c>
      <c r="F25" s="69" t="s">
        <v>53</v>
      </c>
      <c r="G25" s="70"/>
      <c r="H25" s="71" t="b">
        <v>1</v>
      </c>
      <c r="I25" s="54"/>
      <c r="J25" s="65"/>
    </row>
    <row r="26" ht="57.0" hidden="1" customHeight="1" outlineLevel="1">
      <c r="A26" s="60" t="s">
        <v>101</v>
      </c>
      <c r="B26" s="61" t="b">
        <v>0</v>
      </c>
      <c r="C26" s="61" t="b">
        <v>0</v>
      </c>
      <c r="D26" s="62" t="s">
        <v>49</v>
      </c>
      <c r="E26" s="62" t="s">
        <v>67</v>
      </c>
      <c r="F26" s="62" t="s">
        <v>53</v>
      </c>
      <c r="G26" s="63"/>
      <c r="H26" s="53" t="b">
        <v>1</v>
      </c>
      <c r="I26" s="54"/>
      <c r="J26" s="65"/>
    </row>
    <row r="27" ht="57.0" hidden="1" customHeight="1" outlineLevel="1">
      <c r="A27" s="66" t="s">
        <v>102</v>
      </c>
      <c r="B27" s="68" t="b">
        <v>0</v>
      </c>
      <c r="C27" s="68" t="b">
        <v>0</v>
      </c>
      <c r="D27" s="69" t="s">
        <v>49</v>
      </c>
      <c r="E27" s="69" t="s">
        <v>67</v>
      </c>
      <c r="F27" s="69" t="s">
        <v>53</v>
      </c>
      <c r="G27" s="70"/>
      <c r="H27" s="71" t="b">
        <v>1</v>
      </c>
      <c r="I27" s="54"/>
      <c r="J27" s="65"/>
    </row>
    <row r="28" ht="57.0" hidden="1" customHeight="1" outlineLevel="1">
      <c r="A28" s="60" t="s">
        <v>103</v>
      </c>
      <c r="B28" s="61" t="b">
        <v>0</v>
      </c>
      <c r="C28" s="61" t="b">
        <v>0</v>
      </c>
      <c r="D28" s="62" t="s">
        <v>49</v>
      </c>
      <c r="E28" s="62" t="s">
        <v>67</v>
      </c>
      <c r="F28" s="62" t="s">
        <v>53</v>
      </c>
      <c r="G28" s="63"/>
      <c r="H28" s="53" t="b">
        <v>1</v>
      </c>
      <c r="I28" s="54"/>
      <c r="J28" s="65"/>
    </row>
    <row r="29" ht="57.0" hidden="1" customHeight="1" outlineLevel="1">
      <c r="A29" s="66" t="s">
        <v>104</v>
      </c>
      <c r="B29" s="68" t="b">
        <v>0</v>
      </c>
      <c r="C29" s="68" t="b">
        <v>0</v>
      </c>
      <c r="D29" s="69" t="s">
        <v>49</v>
      </c>
      <c r="E29" s="69" t="s">
        <v>67</v>
      </c>
      <c r="F29" s="69" t="s">
        <v>53</v>
      </c>
      <c r="G29" s="70"/>
      <c r="H29" s="71" t="b">
        <v>1</v>
      </c>
      <c r="I29" s="54"/>
      <c r="J29" s="65"/>
    </row>
    <row r="30" ht="57.0" hidden="1" customHeight="1" outlineLevel="1">
      <c r="A30" s="60" t="s">
        <v>105</v>
      </c>
      <c r="B30" s="61" t="b">
        <v>0</v>
      </c>
      <c r="C30" s="61" t="b">
        <v>0</v>
      </c>
      <c r="D30" s="62" t="s">
        <v>49</v>
      </c>
      <c r="E30" s="62" t="s">
        <v>67</v>
      </c>
      <c r="F30" s="62" t="s">
        <v>53</v>
      </c>
      <c r="G30" s="63"/>
      <c r="H30" s="82" t="b">
        <v>1</v>
      </c>
      <c r="I30" s="54"/>
      <c r="J30" s="65"/>
    </row>
    <row r="31" ht="57.0" customHeight="1" collapsed="1">
      <c r="A31" s="60" t="s">
        <v>107</v>
      </c>
      <c r="B31" s="61" t="b">
        <v>0</v>
      </c>
      <c r="C31" s="61" t="b">
        <v>0</v>
      </c>
      <c r="D31" s="62" t="s">
        <v>49</v>
      </c>
      <c r="E31" s="62" t="s">
        <v>109</v>
      </c>
      <c r="F31" s="62" t="s">
        <v>53</v>
      </c>
      <c r="G31" s="63"/>
      <c r="H31" s="82" t="b">
        <v>0</v>
      </c>
      <c r="I31" s="85" t="s">
        <v>110</v>
      </c>
      <c r="J31" s="98">
        <f t="array" ref="J31">IF(
    COUNTIFS(
        {C3:C274; C278:C309; C313:C323; C327:C472; C476:C840; C844:C926; C930:C1034; C1038:C1087}, 
        FALSE,
        {H3:H274; H278:H309; H313:H323; H327:H472; H476:H840; H844:H926; H930:H1034; H1038:H1087}, 
        FALSE
    ) = 0,
    0,
    COUNTIFS(
        {B3:B274; B278:B309; B313:B323; B327:B472; B476:B840; B844:B926; B930:B1034; B1038:B1087}, 
        TRUE,
        {C3:C274; C278:C309; C313:C323; C327:C472; C476:C840; C844:C926; C930:C1034; C1038:C1087}, 
        FALSE,
        {H3:H274; H278:H309; H313:H323; H327:H472; H476:H840; H844:H926; H930:H1034; H1038:H1087}, 
        FALSE
    ) /
    COUNTIFS(
        {C3:C274; C278:C309; C313:C323; C327:C472; C476:C840; C844:C926; C930:C1034; C1038:C1087}, 
        FALSE,
        {H3:H274; H278:H309; H313:H323; H327:H472; H476:H840; H844:H926; H930:H1034; H1038:H1087}, 
        FALSE
    )
)
</f>
        <v>0</v>
      </c>
    </row>
    <row r="32" ht="57.0" hidden="1" customHeight="1" outlineLevel="1">
      <c r="A32" s="60" t="s">
        <v>127</v>
      </c>
      <c r="B32" s="61" t="b">
        <v>0</v>
      </c>
      <c r="C32" s="61" t="b">
        <v>0</v>
      </c>
      <c r="D32" s="62" t="s">
        <v>49</v>
      </c>
      <c r="E32" s="62" t="s">
        <v>67</v>
      </c>
      <c r="F32" s="62" t="s">
        <v>53</v>
      </c>
      <c r="G32" s="63"/>
      <c r="H32" s="53" t="b">
        <v>1</v>
      </c>
      <c r="I32" s="54"/>
      <c r="J32" s="65"/>
    </row>
    <row r="33" ht="57.0" hidden="1" customHeight="1" outlineLevel="1">
      <c r="A33" s="66" t="s">
        <v>128</v>
      </c>
      <c r="B33" s="68" t="b">
        <v>0</v>
      </c>
      <c r="C33" s="68" t="b">
        <v>0</v>
      </c>
      <c r="D33" s="69" t="s">
        <v>49</v>
      </c>
      <c r="E33" s="69" t="s">
        <v>67</v>
      </c>
      <c r="F33" s="69" t="s">
        <v>53</v>
      </c>
      <c r="G33" s="70"/>
      <c r="H33" s="71" t="b">
        <v>1</v>
      </c>
      <c r="I33" s="54"/>
      <c r="J33" s="65"/>
    </row>
    <row r="34" ht="57.0" hidden="1" customHeight="1" outlineLevel="1">
      <c r="A34" s="60" t="s">
        <v>129</v>
      </c>
      <c r="B34" s="61" t="b">
        <v>0</v>
      </c>
      <c r="C34" s="61" t="b">
        <v>0</v>
      </c>
      <c r="D34" s="62" t="s">
        <v>49</v>
      </c>
      <c r="E34" s="62" t="s">
        <v>67</v>
      </c>
      <c r="F34" s="62" t="s">
        <v>53</v>
      </c>
      <c r="G34" s="63"/>
      <c r="H34" s="53" t="b">
        <v>1</v>
      </c>
      <c r="I34" s="54"/>
      <c r="J34" s="65"/>
    </row>
    <row r="35" ht="57.0" hidden="1" customHeight="1" outlineLevel="1">
      <c r="A35" s="66" t="s">
        <v>130</v>
      </c>
      <c r="B35" s="68" t="b">
        <v>0</v>
      </c>
      <c r="C35" s="68" t="b">
        <v>0</v>
      </c>
      <c r="D35" s="69" t="s">
        <v>49</v>
      </c>
      <c r="E35" s="69" t="s">
        <v>67</v>
      </c>
      <c r="F35" s="69" t="s">
        <v>53</v>
      </c>
      <c r="G35" s="70"/>
      <c r="H35" s="71" t="b">
        <v>1</v>
      </c>
      <c r="I35" s="54"/>
      <c r="J35" s="65"/>
    </row>
    <row r="36" ht="57.0" hidden="1" customHeight="1" outlineLevel="1">
      <c r="A36" s="60" t="s">
        <v>131</v>
      </c>
      <c r="B36" s="61" t="b">
        <v>0</v>
      </c>
      <c r="C36" s="61" t="b">
        <v>0</v>
      </c>
      <c r="D36" s="62" t="s">
        <v>49</v>
      </c>
      <c r="E36" s="62" t="s">
        <v>67</v>
      </c>
      <c r="F36" s="62" t="s">
        <v>53</v>
      </c>
      <c r="G36" s="63"/>
      <c r="H36" s="53" t="b">
        <v>1</v>
      </c>
      <c r="I36" s="54"/>
      <c r="J36" s="65"/>
    </row>
    <row r="37" ht="57.0" hidden="1" customHeight="1" outlineLevel="1">
      <c r="A37" s="66" t="s">
        <v>132</v>
      </c>
      <c r="B37" s="68" t="b">
        <v>0</v>
      </c>
      <c r="C37" s="68" t="b">
        <v>0</v>
      </c>
      <c r="D37" s="69" t="s">
        <v>49</v>
      </c>
      <c r="E37" s="69" t="s">
        <v>67</v>
      </c>
      <c r="F37" s="69" t="s">
        <v>53</v>
      </c>
      <c r="G37" s="70"/>
      <c r="H37" s="71" t="b">
        <v>1</v>
      </c>
      <c r="I37" s="54"/>
      <c r="J37" s="65"/>
    </row>
    <row r="38" ht="57.0" hidden="1" customHeight="1" outlineLevel="1">
      <c r="A38" s="60" t="s">
        <v>133</v>
      </c>
      <c r="B38" s="61" t="b">
        <v>0</v>
      </c>
      <c r="C38" s="61" t="b">
        <v>0</v>
      </c>
      <c r="D38" s="62" t="s">
        <v>49</v>
      </c>
      <c r="E38" s="62" t="s">
        <v>67</v>
      </c>
      <c r="F38" s="62" t="s">
        <v>53</v>
      </c>
      <c r="G38" s="63"/>
      <c r="H38" s="53" t="b">
        <v>1</v>
      </c>
      <c r="I38" s="54"/>
      <c r="J38" s="65"/>
    </row>
    <row r="39" ht="57.0" hidden="1" customHeight="1" outlineLevel="1">
      <c r="A39" s="66" t="s">
        <v>134</v>
      </c>
      <c r="B39" s="68" t="b">
        <v>0</v>
      </c>
      <c r="C39" s="68" t="b">
        <v>0</v>
      </c>
      <c r="D39" s="69" t="s">
        <v>49</v>
      </c>
      <c r="E39" s="69" t="s">
        <v>67</v>
      </c>
      <c r="F39" s="69" t="s">
        <v>53</v>
      </c>
      <c r="G39" s="70"/>
      <c r="H39" s="71" t="b">
        <v>1</v>
      </c>
      <c r="I39" s="54"/>
      <c r="J39" s="65"/>
    </row>
    <row r="40" ht="57.0" hidden="1" customHeight="1" outlineLevel="1">
      <c r="A40" s="60" t="s">
        <v>135</v>
      </c>
      <c r="B40" s="61" t="b">
        <v>0</v>
      </c>
      <c r="C40" s="61" t="b">
        <v>0</v>
      </c>
      <c r="D40" s="62" t="s">
        <v>49</v>
      </c>
      <c r="E40" s="62" t="s">
        <v>67</v>
      </c>
      <c r="F40" s="62" t="s">
        <v>53</v>
      </c>
      <c r="G40" s="63"/>
      <c r="H40" s="53" t="b">
        <v>1</v>
      </c>
      <c r="I40" s="54"/>
      <c r="J40" s="65"/>
    </row>
    <row r="41" ht="57.0" hidden="1" customHeight="1" outlineLevel="1">
      <c r="A41" s="74" t="s">
        <v>136</v>
      </c>
      <c r="B41" s="75" t="b">
        <v>0</v>
      </c>
      <c r="C41" s="75" t="b">
        <v>0</v>
      </c>
      <c r="D41" s="76" t="s">
        <v>49</v>
      </c>
      <c r="E41" s="76" t="s">
        <v>67</v>
      </c>
      <c r="F41" s="76" t="s">
        <v>53</v>
      </c>
      <c r="G41" s="77"/>
      <c r="H41" s="78"/>
      <c r="I41" s="54"/>
      <c r="J41" s="65"/>
    </row>
    <row r="42" ht="57.0" hidden="1" customHeight="1" outlineLevel="1">
      <c r="A42" s="60" t="s">
        <v>137</v>
      </c>
      <c r="B42" s="61" t="b">
        <v>0</v>
      </c>
      <c r="C42" s="61" t="b">
        <v>0</v>
      </c>
      <c r="D42" s="62" t="s">
        <v>49</v>
      </c>
      <c r="E42" s="62" t="s">
        <v>67</v>
      </c>
      <c r="F42" s="62" t="s">
        <v>53</v>
      </c>
      <c r="G42" s="63"/>
      <c r="H42" s="53" t="b">
        <v>1</v>
      </c>
      <c r="I42" s="54"/>
      <c r="J42" s="65"/>
    </row>
    <row r="43" ht="57.0" hidden="1" customHeight="1" outlineLevel="1">
      <c r="A43" s="66" t="s">
        <v>138</v>
      </c>
      <c r="B43" s="68" t="b">
        <v>0</v>
      </c>
      <c r="C43" s="68" t="b">
        <v>0</v>
      </c>
      <c r="D43" s="69" t="s">
        <v>49</v>
      </c>
      <c r="E43" s="69" t="s">
        <v>67</v>
      </c>
      <c r="F43" s="69" t="s">
        <v>53</v>
      </c>
      <c r="G43" s="70"/>
      <c r="H43" s="71" t="b">
        <v>1</v>
      </c>
      <c r="I43" s="54"/>
      <c r="J43" s="65"/>
    </row>
    <row r="44" ht="57.0" hidden="1" customHeight="1" outlineLevel="1">
      <c r="A44" s="60" t="s">
        <v>139</v>
      </c>
      <c r="B44" s="61" t="b">
        <v>0</v>
      </c>
      <c r="C44" s="61" t="b">
        <v>0</v>
      </c>
      <c r="D44" s="62" t="s">
        <v>49</v>
      </c>
      <c r="E44" s="62" t="s">
        <v>67</v>
      </c>
      <c r="F44" s="62" t="s">
        <v>53</v>
      </c>
      <c r="G44" s="63"/>
      <c r="H44" s="53" t="b">
        <v>1</v>
      </c>
      <c r="I44" s="54"/>
      <c r="J44" s="65"/>
    </row>
    <row r="45" ht="57.0" hidden="1" customHeight="1" outlineLevel="1">
      <c r="A45" s="66" t="s">
        <v>140</v>
      </c>
      <c r="B45" s="68" t="b">
        <v>0</v>
      </c>
      <c r="C45" s="68" t="b">
        <v>0</v>
      </c>
      <c r="D45" s="69" t="s">
        <v>49</v>
      </c>
      <c r="E45" s="69" t="s">
        <v>67</v>
      </c>
      <c r="F45" s="69" t="s">
        <v>53</v>
      </c>
      <c r="G45" s="70"/>
      <c r="H45" s="71" t="b">
        <v>1</v>
      </c>
      <c r="I45" s="54"/>
      <c r="J45" s="65"/>
    </row>
    <row r="46" ht="57.0" hidden="1" customHeight="1" outlineLevel="1">
      <c r="A46" s="60" t="s">
        <v>141</v>
      </c>
      <c r="B46" s="61" t="b">
        <v>0</v>
      </c>
      <c r="C46" s="61" t="b">
        <v>0</v>
      </c>
      <c r="D46" s="62" t="s">
        <v>49</v>
      </c>
      <c r="E46" s="62" t="s">
        <v>67</v>
      </c>
      <c r="F46" s="62" t="s">
        <v>53</v>
      </c>
      <c r="G46" s="63"/>
      <c r="H46" s="53" t="b">
        <v>1</v>
      </c>
      <c r="I46" s="54"/>
      <c r="J46" s="65"/>
    </row>
    <row r="47" ht="57.0" hidden="1" customHeight="1" outlineLevel="1">
      <c r="A47" s="60" t="s">
        <v>142</v>
      </c>
      <c r="B47" s="61" t="b">
        <v>0</v>
      </c>
      <c r="C47" s="61" t="b">
        <v>0</v>
      </c>
      <c r="D47" s="62" t="s">
        <v>49</v>
      </c>
      <c r="E47" s="62" t="s">
        <v>67</v>
      </c>
      <c r="F47" s="62" t="s">
        <v>53</v>
      </c>
      <c r="G47" s="63"/>
      <c r="H47" s="53"/>
      <c r="I47" s="54"/>
      <c r="J47" s="65"/>
    </row>
    <row r="48" ht="57.0" hidden="1" customHeight="1" outlineLevel="1">
      <c r="A48" s="60" t="s">
        <v>143</v>
      </c>
      <c r="B48" s="61" t="b">
        <v>0</v>
      </c>
      <c r="C48" s="61" t="b">
        <v>0</v>
      </c>
      <c r="D48" s="62" t="s">
        <v>49</v>
      </c>
      <c r="E48" s="62" t="s">
        <v>67</v>
      </c>
      <c r="F48" s="62" t="s">
        <v>53</v>
      </c>
      <c r="G48" s="63"/>
      <c r="H48" s="53" t="b">
        <v>1</v>
      </c>
      <c r="I48" s="54"/>
      <c r="J48" s="65"/>
    </row>
    <row r="49" ht="57.0" hidden="1" customHeight="1" outlineLevel="1">
      <c r="A49" s="66" t="s">
        <v>144</v>
      </c>
      <c r="B49" s="68" t="b">
        <v>0</v>
      </c>
      <c r="C49" s="68" t="b">
        <v>0</v>
      </c>
      <c r="D49" s="69" t="s">
        <v>49</v>
      </c>
      <c r="E49" s="69" t="s">
        <v>67</v>
      </c>
      <c r="F49" s="69" t="s">
        <v>53</v>
      </c>
      <c r="G49" s="70"/>
      <c r="H49" s="71" t="b">
        <v>1</v>
      </c>
      <c r="I49" s="54"/>
      <c r="J49" s="65"/>
    </row>
    <row r="50" ht="57.0" hidden="1" customHeight="1" outlineLevel="1">
      <c r="A50" s="60" t="s">
        <v>145</v>
      </c>
      <c r="B50" s="61" t="b">
        <v>0</v>
      </c>
      <c r="C50" s="61" t="b">
        <v>0</v>
      </c>
      <c r="D50" s="62" t="s">
        <v>49</v>
      </c>
      <c r="E50" s="62" t="s">
        <v>67</v>
      </c>
      <c r="F50" s="62" t="s">
        <v>53</v>
      </c>
      <c r="G50" s="63"/>
      <c r="H50" s="53" t="b">
        <v>1</v>
      </c>
      <c r="I50" s="99"/>
      <c r="J50" s="100"/>
    </row>
    <row r="51" ht="57.0" customHeight="1" collapsed="1">
      <c r="A51" s="74" t="s">
        <v>146</v>
      </c>
      <c r="B51" s="75" t="b">
        <v>0</v>
      </c>
      <c r="C51" s="75" t="b">
        <v>0</v>
      </c>
      <c r="D51" s="76" t="s">
        <v>49</v>
      </c>
      <c r="E51" s="76" t="s">
        <v>147</v>
      </c>
      <c r="F51" s="76" t="s">
        <v>53</v>
      </c>
      <c r="G51" s="77"/>
      <c r="H51" s="101" t="b">
        <v>0</v>
      </c>
      <c r="I51" s="102" t="str">
        <f>IMAGE("https://i.ytimg.com/vi/34VBGob5kYQ/sddefault.jpg")</f>
        <v>#REF!</v>
      </c>
    </row>
    <row r="52" ht="57.0" hidden="1" customHeight="1" outlineLevel="1">
      <c r="A52" s="60" t="s">
        <v>148</v>
      </c>
      <c r="B52" s="61" t="b">
        <v>0</v>
      </c>
      <c r="C52" s="61" t="b">
        <v>0</v>
      </c>
      <c r="D52" s="62" t="s">
        <v>49</v>
      </c>
      <c r="E52" s="62" t="s">
        <v>67</v>
      </c>
      <c r="F52" s="62" t="s">
        <v>53</v>
      </c>
      <c r="G52" s="63"/>
      <c r="H52" s="103" t="b">
        <v>1</v>
      </c>
    </row>
    <row r="53" ht="57.0" hidden="1" customHeight="1" outlineLevel="1">
      <c r="A53" s="66" t="s">
        <v>149</v>
      </c>
      <c r="B53" s="68" t="b">
        <v>0</v>
      </c>
      <c r="C53" s="68" t="b">
        <v>0</v>
      </c>
      <c r="D53" s="69" t="s">
        <v>49</v>
      </c>
      <c r="E53" s="69" t="s">
        <v>67</v>
      </c>
      <c r="F53" s="69" t="s">
        <v>53</v>
      </c>
      <c r="G53" s="70"/>
      <c r="H53" s="104" t="b">
        <v>1</v>
      </c>
    </row>
    <row r="54" ht="57.0" hidden="1" customHeight="1" outlineLevel="1">
      <c r="A54" s="60" t="s">
        <v>150</v>
      </c>
      <c r="B54" s="61" t="b">
        <v>0</v>
      </c>
      <c r="C54" s="61" t="b">
        <v>0</v>
      </c>
      <c r="D54" s="62" t="s">
        <v>49</v>
      </c>
      <c r="E54" s="62" t="s">
        <v>67</v>
      </c>
      <c r="F54" s="62" t="s">
        <v>53</v>
      </c>
      <c r="G54" s="63"/>
      <c r="H54" s="103" t="b">
        <v>1</v>
      </c>
    </row>
    <row r="55" ht="57.0" hidden="1" customHeight="1" outlineLevel="1">
      <c r="A55" s="66" t="s">
        <v>151</v>
      </c>
      <c r="B55" s="68" t="b">
        <v>0</v>
      </c>
      <c r="C55" s="68" t="b">
        <v>0</v>
      </c>
      <c r="D55" s="69" t="s">
        <v>49</v>
      </c>
      <c r="E55" s="69" t="s">
        <v>67</v>
      </c>
      <c r="F55" s="69" t="s">
        <v>53</v>
      </c>
      <c r="G55" s="70"/>
      <c r="H55" s="104" t="b">
        <v>1</v>
      </c>
    </row>
    <row r="56" ht="57.0" hidden="1" customHeight="1" outlineLevel="1">
      <c r="A56" s="60" t="s">
        <v>152</v>
      </c>
      <c r="B56" s="61" t="b">
        <v>0</v>
      </c>
      <c r="C56" s="61" t="b">
        <v>0</v>
      </c>
      <c r="D56" s="62" t="s">
        <v>49</v>
      </c>
      <c r="E56" s="62" t="s">
        <v>67</v>
      </c>
      <c r="F56" s="62" t="s">
        <v>53</v>
      </c>
      <c r="G56" s="63"/>
      <c r="H56" s="103" t="b">
        <v>1</v>
      </c>
    </row>
    <row r="57" ht="57.0" hidden="1" customHeight="1" outlineLevel="1">
      <c r="A57" s="66" t="s">
        <v>153</v>
      </c>
      <c r="B57" s="68" t="b">
        <v>0</v>
      </c>
      <c r="C57" s="68" t="b">
        <v>0</v>
      </c>
      <c r="D57" s="69" t="s">
        <v>49</v>
      </c>
      <c r="E57" s="69" t="s">
        <v>67</v>
      </c>
      <c r="F57" s="69" t="s">
        <v>53</v>
      </c>
      <c r="G57" s="70"/>
      <c r="H57" s="104" t="b">
        <v>1</v>
      </c>
    </row>
    <row r="58" ht="57.0" hidden="1" customHeight="1" outlineLevel="1">
      <c r="A58" s="60" t="s">
        <v>154</v>
      </c>
      <c r="B58" s="61" t="b">
        <v>0</v>
      </c>
      <c r="C58" s="61" t="b">
        <v>0</v>
      </c>
      <c r="D58" s="62" t="s">
        <v>49</v>
      </c>
      <c r="E58" s="62" t="s">
        <v>67</v>
      </c>
      <c r="F58" s="62" t="s">
        <v>53</v>
      </c>
      <c r="G58" s="63"/>
      <c r="H58" s="103" t="b">
        <v>1</v>
      </c>
    </row>
    <row r="59" ht="57.0" hidden="1" customHeight="1" outlineLevel="1">
      <c r="A59" s="66" t="s">
        <v>155</v>
      </c>
      <c r="B59" s="68" t="b">
        <v>0</v>
      </c>
      <c r="C59" s="68" t="b">
        <v>0</v>
      </c>
      <c r="D59" s="69" t="s">
        <v>49</v>
      </c>
      <c r="E59" s="69" t="s">
        <v>67</v>
      </c>
      <c r="F59" s="69" t="s">
        <v>53</v>
      </c>
      <c r="G59" s="70"/>
      <c r="H59" s="104" t="b">
        <v>1</v>
      </c>
    </row>
    <row r="60" ht="57.0" hidden="1" customHeight="1" outlineLevel="1">
      <c r="A60" s="60" t="s">
        <v>156</v>
      </c>
      <c r="B60" s="61" t="b">
        <v>0</v>
      </c>
      <c r="C60" s="61" t="b">
        <v>0</v>
      </c>
      <c r="D60" s="62" t="s">
        <v>49</v>
      </c>
      <c r="E60" s="62" t="s">
        <v>67</v>
      </c>
      <c r="F60" s="62" t="s">
        <v>53</v>
      </c>
      <c r="G60" s="63"/>
      <c r="H60" s="103" t="b">
        <v>1</v>
      </c>
    </row>
    <row r="61" ht="57.0" hidden="1" customHeight="1" outlineLevel="1">
      <c r="A61" s="66" t="s">
        <v>157</v>
      </c>
      <c r="B61" s="68" t="b">
        <v>0</v>
      </c>
      <c r="C61" s="68" t="b">
        <v>0</v>
      </c>
      <c r="D61" s="69" t="s">
        <v>49</v>
      </c>
      <c r="E61" s="69" t="s">
        <v>67</v>
      </c>
      <c r="F61" s="69" t="s">
        <v>53</v>
      </c>
      <c r="G61" s="70"/>
      <c r="H61" s="104" t="b">
        <v>1</v>
      </c>
    </row>
    <row r="62" ht="57.0" hidden="1" customHeight="1" outlineLevel="1">
      <c r="A62" s="60" t="s">
        <v>158</v>
      </c>
      <c r="B62" s="61" t="b">
        <v>0</v>
      </c>
      <c r="C62" s="61" t="b">
        <v>0</v>
      </c>
      <c r="D62" s="62" t="s">
        <v>49</v>
      </c>
      <c r="E62" s="62" t="s">
        <v>67</v>
      </c>
      <c r="F62" s="62" t="s">
        <v>53</v>
      </c>
      <c r="G62" s="63"/>
      <c r="H62" s="103" t="b">
        <v>1</v>
      </c>
    </row>
    <row r="63" ht="57.0" hidden="1" customHeight="1" outlineLevel="1">
      <c r="A63" s="66" t="s">
        <v>159</v>
      </c>
      <c r="B63" s="68" t="b">
        <v>0</v>
      </c>
      <c r="C63" s="68" t="b">
        <v>0</v>
      </c>
      <c r="D63" s="69" t="s">
        <v>49</v>
      </c>
      <c r="E63" s="69" t="s">
        <v>67</v>
      </c>
      <c r="F63" s="69" t="s">
        <v>53</v>
      </c>
      <c r="G63" s="70"/>
      <c r="H63" s="104" t="b">
        <v>1</v>
      </c>
    </row>
    <row r="64" ht="57.0" hidden="1" customHeight="1" outlineLevel="1">
      <c r="A64" s="60" t="s">
        <v>160</v>
      </c>
      <c r="B64" s="61" t="b">
        <v>0</v>
      </c>
      <c r="C64" s="61" t="b">
        <v>0</v>
      </c>
      <c r="D64" s="62" t="s">
        <v>49</v>
      </c>
      <c r="E64" s="62" t="s">
        <v>67</v>
      </c>
      <c r="F64" s="62" t="s">
        <v>53</v>
      </c>
      <c r="G64" s="63"/>
      <c r="H64" s="103" t="b">
        <v>1</v>
      </c>
    </row>
    <row r="65" ht="57.0" hidden="1" customHeight="1" outlineLevel="1">
      <c r="A65" s="66" t="s">
        <v>161</v>
      </c>
      <c r="B65" s="68" t="b">
        <v>0</v>
      </c>
      <c r="C65" s="68" t="b">
        <v>0</v>
      </c>
      <c r="D65" s="69" t="s">
        <v>49</v>
      </c>
      <c r="E65" s="69" t="s">
        <v>67</v>
      </c>
      <c r="F65" s="69" t="s">
        <v>53</v>
      </c>
      <c r="G65" s="70"/>
      <c r="H65" s="104" t="b">
        <v>1</v>
      </c>
    </row>
    <row r="66" ht="57.0" hidden="1" customHeight="1" outlineLevel="1">
      <c r="A66" s="60" t="s">
        <v>162</v>
      </c>
      <c r="B66" s="61" t="b">
        <v>0</v>
      </c>
      <c r="C66" s="61" t="b">
        <v>0</v>
      </c>
      <c r="D66" s="62" t="s">
        <v>49</v>
      </c>
      <c r="E66" s="62" t="s">
        <v>67</v>
      </c>
      <c r="F66" s="62" t="s">
        <v>53</v>
      </c>
      <c r="G66" s="63"/>
      <c r="H66" s="103" t="b">
        <v>1</v>
      </c>
    </row>
    <row r="67" ht="57.0" hidden="1" customHeight="1" outlineLevel="1">
      <c r="A67" s="66" t="s">
        <v>163</v>
      </c>
      <c r="B67" s="68" t="b">
        <v>0</v>
      </c>
      <c r="C67" s="68" t="b">
        <v>0</v>
      </c>
      <c r="D67" s="69" t="s">
        <v>49</v>
      </c>
      <c r="E67" s="69" t="s">
        <v>67</v>
      </c>
      <c r="F67" s="69" t="s">
        <v>53</v>
      </c>
      <c r="G67" s="70"/>
      <c r="H67" s="104" t="b">
        <v>1</v>
      </c>
    </row>
    <row r="68" ht="57.0" hidden="1" customHeight="1" outlineLevel="1">
      <c r="A68" s="60" t="s">
        <v>164</v>
      </c>
      <c r="B68" s="61" t="b">
        <v>0</v>
      </c>
      <c r="C68" s="61" t="b">
        <v>0</v>
      </c>
      <c r="D68" s="62" t="s">
        <v>49</v>
      </c>
      <c r="E68" s="62" t="s">
        <v>67</v>
      </c>
      <c r="F68" s="62" t="s">
        <v>53</v>
      </c>
      <c r="G68" s="63"/>
      <c r="H68" s="103" t="b">
        <v>1</v>
      </c>
    </row>
    <row r="69" ht="57.0" customHeight="1" collapsed="1">
      <c r="A69" s="60" t="s">
        <v>165</v>
      </c>
      <c r="B69" s="61" t="b">
        <v>0</v>
      </c>
      <c r="C69" s="61" t="b">
        <v>0</v>
      </c>
      <c r="D69" s="62" t="s">
        <v>49</v>
      </c>
      <c r="E69" s="62" t="s">
        <v>166</v>
      </c>
      <c r="F69" s="62" t="s">
        <v>53</v>
      </c>
      <c r="G69" s="63"/>
      <c r="H69" s="105" t="b">
        <v>0</v>
      </c>
    </row>
    <row r="70" ht="57.0" hidden="1" customHeight="1" outlineLevel="1">
      <c r="A70" s="60" t="s">
        <v>167</v>
      </c>
      <c r="B70" s="61" t="b">
        <v>0</v>
      </c>
      <c r="C70" s="61" t="b">
        <v>0</v>
      </c>
      <c r="D70" s="62" t="s">
        <v>49</v>
      </c>
      <c r="E70" s="62" t="s">
        <v>67</v>
      </c>
      <c r="F70" s="62" t="s">
        <v>53</v>
      </c>
      <c r="G70" s="63"/>
      <c r="H70" s="103" t="b">
        <v>1</v>
      </c>
    </row>
    <row r="71" ht="57.0" hidden="1" customHeight="1" outlineLevel="1">
      <c r="A71" s="66" t="s">
        <v>168</v>
      </c>
      <c r="B71" s="68" t="b">
        <v>0</v>
      </c>
      <c r="C71" s="68" t="b">
        <v>0</v>
      </c>
      <c r="D71" s="69" t="s">
        <v>49</v>
      </c>
      <c r="E71" s="69" t="s">
        <v>67</v>
      </c>
      <c r="F71" s="69" t="s">
        <v>53</v>
      </c>
      <c r="G71" s="70"/>
      <c r="H71" s="104" t="b">
        <v>1</v>
      </c>
    </row>
    <row r="72" ht="57.0" hidden="1" customHeight="1" outlineLevel="1">
      <c r="A72" s="60" t="s">
        <v>169</v>
      </c>
      <c r="B72" s="61" t="b">
        <v>0</v>
      </c>
      <c r="C72" s="61" t="b">
        <v>0</v>
      </c>
      <c r="D72" s="62" t="s">
        <v>49</v>
      </c>
      <c r="E72" s="62" t="s">
        <v>67</v>
      </c>
      <c r="F72" s="62" t="s">
        <v>53</v>
      </c>
      <c r="G72" s="63"/>
      <c r="H72" s="103" t="b">
        <v>1</v>
      </c>
    </row>
    <row r="73" ht="57.0" hidden="1" customHeight="1" outlineLevel="1">
      <c r="A73" s="66" t="s">
        <v>170</v>
      </c>
      <c r="B73" s="68" t="b">
        <v>0</v>
      </c>
      <c r="C73" s="68" t="b">
        <v>0</v>
      </c>
      <c r="D73" s="69" t="s">
        <v>49</v>
      </c>
      <c r="E73" s="69" t="s">
        <v>67</v>
      </c>
      <c r="F73" s="69" t="s">
        <v>53</v>
      </c>
      <c r="G73" s="70"/>
      <c r="H73" s="104" t="b">
        <v>1</v>
      </c>
    </row>
    <row r="74" ht="57.0" hidden="1" customHeight="1" outlineLevel="1">
      <c r="A74" s="60" t="s">
        <v>171</v>
      </c>
      <c r="B74" s="61" t="b">
        <v>0</v>
      </c>
      <c r="C74" s="61" t="b">
        <v>0</v>
      </c>
      <c r="D74" s="62" t="s">
        <v>49</v>
      </c>
      <c r="E74" s="62" t="s">
        <v>67</v>
      </c>
      <c r="F74" s="62" t="s">
        <v>53</v>
      </c>
      <c r="G74" s="63"/>
      <c r="H74" s="103" t="b">
        <v>1</v>
      </c>
    </row>
    <row r="75" ht="57.0" hidden="1" customHeight="1" outlineLevel="1">
      <c r="A75" s="66" t="s">
        <v>172</v>
      </c>
      <c r="B75" s="68" t="b">
        <v>0</v>
      </c>
      <c r="C75" s="68" t="b">
        <v>0</v>
      </c>
      <c r="D75" s="69" t="s">
        <v>49</v>
      </c>
      <c r="E75" s="69" t="s">
        <v>67</v>
      </c>
      <c r="F75" s="69" t="s">
        <v>53</v>
      </c>
      <c r="G75" s="70"/>
      <c r="H75" s="104" t="b">
        <v>1</v>
      </c>
    </row>
    <row r="76" ht="57.0" hidden="1" customHeight="1" outlineLevel="1">
      <c r="A76" s="60" t="s">
        <v>173</v>
      </c>
      <c r="B76" s="61" t="b">
        <v>0</v>
      </c>
      <c r="C76" s="61" t="b">
        <v>0</v>
      </c>
      <c r="D76" s="62" t="s">
        <v>49</v>
      </c>
      <c r="E76" s="62" t="s">
        <v>67</v>
      </c>
      <c r="F76" s="62" t="s">
        <v>53</v>
      </c>
      <c r="G76" s="63"/>
      <c r="H76" s="103" t="b">
        <v>1</v>
      </c>
    </row>
    <row r="77" ht="57.0" hidden="1" customHeight="1" outlineLevel="1">
      <c r="A77" s="66" t="s">
        <v>174</v>
      </c>
      <c r="B77" s="68" t="b">
        <v>0</v>
      </c>
      <c r="C77" s="68" t="b">
        <v>0</v>
      </c>
      <c r="D77" s="69" t="s">
        <v>49</v>
      </c>
      <c r="E77" s="69" t="s">
        <v>67</v>
      </c>
      <c r="F77" s="69" t="s">
        <v>53</v>
      </c>
      <c r="G77" s="70"/>
      <c r="H77" s="104" t="b">
        <v>1</v>
      </c>
    </row>
    <row r="78" ht="57.0" hidden="1" customHeight="1" outlineLevel="1">
      <c r="A78" s="60" t="s">
        <v>175</v>
      </c>
      <c r="B78" s="61" t="b">
        <v>0</v>
      </c>
      <c r="C78" s="61" t="b">
        <v>0</v>
      </c>
      <c r="D78" s="62" t="s">
        <v>49</v>
      </c>
      <c r="E78" s="62" t="s">
        <v>67</v>
      </c>
      <c r="F78" s="62" t="s">
        <v>53</v>
      </c>
      <c r="G78" s="63"/>
      <c r="H78" s="103" t="b">
        <v>1</v>
      </c>
    </row>
    <row r="79" ht="57.0" hidden="1" customHeight="1" outlineLevel="1">
      <c r="A79" s="66" t="s">
        <v>176</v>
      </c>
      <c r="B79" s="68" t="b">
        <v>0</v>
      </c>
      <c r="C79" s="68" t="b">
        <v>0</v>
      </c>
      <c r="D79" s="69" t="s">
        <v>49</v>
      </c>
      <c r="E79" s="69" t="s">
        <v>67</v>
      </c>
      <c r="F79" s="69" t="s">
        <v>53</v>
      </c>
      <c r="G79" s="70"/>
      <c r="H79" s="104" t="b">
        <v>1</v>
      </c>
    </row>
    <row r="80" ht="57.0" hidden="1" customHeight="1" outlineLevel="1">
      <c r="A80" s="60" t="s">
        <v>177</v>
      </c>
      <c r="B80" s="61" t="b">
        <v>0</v>
      </c>
      <c r="C80" s="61" t="b">
        <v>0</v>
      </c>
      <c r="D80" s="62" t="s">
        <v>49</v>
      </c>
      <c r="E80" s="62" t="s">
        <v>67</v>
      </c>
      <c r="F80" s="62" t="s">
        <v>53</v>
      </c>
      <c r="G80" s="63"/>
      <c r="H80" s="103" t="b">
        <v>1</v>
      </c>
    </row>
    <row r="81" ht="57.0" hidden="1" customHeight="1" outlineLevel="1">
      <c r="A81" s="66" t="s">
        <v>178</v>
      </c>
      <c r="B81" s="68" t="b">
        <v>0</v>
      </c>
      <c r="C81" s="68" t="b">
        <v>0</v>
      </c>
      <c r="D81" s="69" t="s">
        <v>49</v>
      </c>
      <c r="E81" s="69" t="s">
        <v>67</v>
      </c>
      <c r="F81" s="69" t="s">
        <v>53</v>
      </c>
      <c r="G81" s="70"/>
      <c r="H81" s="104" t="b">
        <v>1</v>
      </c>
    </row>
    <row r="82" ht="57.0" hidden="1" customHeight="1" outlineLevel="1">
      <c r="A82" s="60" t="s">
        <v>179</v>
      </c>
      <c r="B82" s="61" t="b">
        <v>0</v>
      </c>
      <c r="C82" s="61" t="b">
        <v>0</v>
      </c>
      <c r="D82" s="62" t="s">
        <v>49</v>
      </c>
      <c r="E82" s="62" t="s">
        <v>67</v>
      </c>
      <c r="F82" s="62" t="s">
        <v>53</v>
      </c>
      <c r="G82" s="63"/>
      <c r="H82" s="103" t="b">
        <v>1</v>
      </c>
    </row>
    <row r="83" ht="57.0" hidden="1" customHeight="1" outlineLevel="1">
      <c r="A83" s="66" t="s">
        <v>180</v>
      </c>
      <c r="B83" s="68" t="b">
        <v>0</v>
      </c>
      <c r="C83" s="68" t="b">
        <v>0</v>
      </c>
      <c r="D83" s="69" t="s">
        <v>49</v>
      </c>
      <c r="E83" s="69" t="s">
        <v>67</v>
      </c>
      <c r="F83" s="69" t="s">
        <v>53</v>
      </c>
      <c r="G83" s="70"/>
      <c r="H83" s="104" t="b">
        <v>1</v>
      </c>
    </row>
    <row r="84" ht="57.0" customHeight="1" collapsed="1">
      <c r="A84" s="74" t="s">
        <v>181</v>
      </c>
      <c r="B84" s="75" t="b">
        <v>0</v>
      </c>
      <c r="C84" s="75" t="b">
        <v>0</v>
      </c>
      <c r="D84" s="76" t="s">
        <v>49</v>
      </c>
      <c r="E84" s="76" t="s">
        <v>52</v>
      </c>
      <c r="F84" s="76" t="s">
        <v>53</v>
      </c>
      <c r="G84" s="77"/>
      <c r="H84" s="106" t="b">
        <v>0</v>
      </c>
    </row>
    <row r="85" ht="57.0" hidden="1" customHeight="1" outlineLevel="1">
      <c r="A85" s="60" t="s">
        <v>182</v>
      </c>
      <c r="B85" s="61" t="b">
        <v>0</v>
      </c>
      <c r="C85" s="61" t="b">
        <v>0</v>
      </c>
      <c r="D85" s="62" t="s">
        <v>49</v>
      </c>
      <c r="E85" s="62" t="s">
        <v>67</v>
      </c>
      <c r="F85" s="62" t="s">
        <v>53</v>
      </c>
      <c r="G85" s="63"/>
      <c r="H85" s="103" t="b">
        <v>1</v>
      </c>
      <c r="I85" s="107"/>
      <c r="J85" s="108"/>
    </row>
    <row r="86" ht="57.0" hidden="1" customHeight="1" outlineLevel="1">
      <c r="A86" s="66" t="s">
        <v>183</v>
      </c>
      <c r="B86" s="68" t="b">
        <v>0</v>
      </c>
      <c r="C86" s="68" t="b">
        <v>0</v>
      </c>
      <c r="D86" s="69" t="s">
        <v>49</v>
      </c>
      <c r="E86" s="69" t="s">
        <v>67</v>
      </c>
      <c r="F86" s="69" t="s">
        <v>53</v>
      </c>
      <c r="G86" s="70"/>
      <c r="H86" s="104" t="b">
        <v>1</v>
      </c>
      <c r="I86" s="107"/>
      <c r="J86" s="108"/>
    </row>
    <row r="87" ht="57.0" hidden="1" customHeight="1" outlineLevel="1">
      <c r="A87" s="60" t="s">
        <v>184</v>
      </c>
      <c r="B87" s="61" t="b">
        <v>0</v>
      </c>
      <c r="C87" s="61" t="b">
        <v>0</v>
      </c>
      <c r="D87" s="62" t="s">
        <v>49</v>
      </c>
      <c r="E87" s="62" t="s">
        <v>67</v>
      </c>
      <c r="F87" s="62" t="s">
        <v>53</v>
      </c>
      <c r="G87" s="63"/>
      <c r="H87" s="103" t="b">
        <v>1</v>
      </c>
      <c r="I87" s="107"/>
      <c r="J87" s="108"/>
    </row>
    <row r="88" ht="57.0" hidden="1" customHeight="1" outlineLevel="1">
      <c r="A88" s="66" t="s">
        <v>185</v>
      </c>
      <c r="B88" s="68" t="b">
        <v>0</v>
      </c>
      <c r="C88" s="68" t="b">
        <v>0</v>
      </c>
      <c r="D88" s="69" t="s">
        <v>49</v>
      </c>
      <c r="E88" s="69" t="s">
        <v>67</v>
      </c>
      <c r="F88" s="69" t="s">
        <v>53</v>
      </c>
      <c r="G88" s="70"/>
      <c r="H88" s="104" t="b">
        <v>1</v>
      </c>
      <c r="I88" s="107"/>
      <c r="J88" s="108"/>
    </row>
    <row r="89" ht="57.0" hidden="1" customHeight="1" outlineLevel="1">
      <c r="A89" s="60" t="s">
        <v>186</v>
      </c>
      <c r="B89" s="61" t="b">
        <v>0</v>
      </c>
      <c r="C89" s="61" t="b">
        <v>0</v>
      </c>
      <c r="D89" s="62" t="s">
        <v>49</v>
      </c>
      <c r="E89" s="62" t="s">
        <v>67</v>
      </c>
      <c r="F89" s="62" t="s">
        <v>53</v>
      </c>
      <c r="G89" s="63"/>
      <c r="H89" s="103" t="b">
        <v>1</v>
      </c>
      <c r="I89" s="107"/>
      <c r="J89" s="108"/>
    </row>
    <row r="90" ht="57.0" hidden="1" customHeight="1" outlineLevel="1">
      <c r="A90" s="66" t="s">
        <v>187</v>
      </c>
      <c r="B90" s="68" t="b">
        <v>0</v>
      </c>
      <c r="C90" s="68" t="b">
        <v>0</v>
      </c>
      <c r="D90" s="69" t="s">
        <v>49</v>
      </c>
      <c r="E90" s="69" t="s">
        <v>67</v>
      </c>
      <c r="F90" s="69" t="s">
        <v>53</v>
      </c>
      <c r="G90" s="70"/>
      <c r="H90" s="104" t="b">
        <v>1</v>
      </c>
      <c r="I90" s="107"/>
      <c r="J90" s="108"/>
    </row>
    <row r="91" ht="57.0" hidden="1" customHeight="1" outlineLevel="1">
      <c r="A91" s="60" t="s">
        <v>188</v>
      </c>
      <c r="B91" s="61" t="b">
        <v>0</v>
      </c>
      <c r="C91" s="61" t="b">
        <v>0</v>
      </c>
      <c r="D91" s="62" t="s">
        <v>49</v>
      </c>
      <c r="E91" s="62" t="s">
        <v>67</v>
      </c>
      <c r="F91" s="62" t="s">
        <v>53</v>
      </c>
      <c r="G91" s="63"/>
      <c r="H91" s="103" t="b">
        <v>1</v>
      </c>
      <c r="I91" s="107"/>
      <c r="J91" s="108"/>
    </row>
    <row r="92" ht="57.0" hidden="1" customHeight="1" outlineLevel="1">
      <c r="A92" s="66" t="s">
        <v>189</v>
      </c>
      <c r="B92" s="68" t="b">
        <v>0</v>
      </c>
      <c r="C92" s="68" t="b">
        <v>0</v>
      </c>
      <c r="D92" s="69" t="s">
        <v>49</v>
      </c>
      <c r="E92" s="69" t="s">
        <v>67</v>
      </c>
      <c r="F92" s="69" t="s">
        <v>53</v>
      </c>
      <c r="G92" s="70"/>
      <c r="H92" s="104" t="b">
        <v>1</v>
      </c>
      <c r="I92" s="107"/>
      <c r="J92" s="108"/>
    </row>
    <row r="93" ht="57.0" hidden="1" customHeight="1" outlineLevel="1">
      <c r="A93" s="60" t="s">
        <v>190</v>
      </c>
      <c r="B93" s="61" t="b">
        <v>0</v>
      </c>
      <c r="C93" s="61" t="b">
        <v>0</v>
      </c>
      <c r="D93" s="62" t="s">
        <v>49</v>
      </c>
      <c r="E93" s="62" t="s">
        <v>67</v>
      </c>
      <c r="F93" s="62" t="s">
        <v>53</v>
      </c>
      <c r="G93" s="63"/>
      <c r="H93" s="103" t="b">
        <v>1</v>
      </c>
      <c r="I93" s="107"/>
      <c r="J93" s="108"/>
    </row>
    <row r="94" ht="57.0" hidden="1" customHeight="1" outlineLevel="1">
      <c r="A94" s="66" t="s">
        <v>191</v>
      </c>
      <c r="B94" s="68" t="b">
        <v>0</v>
      </c>
      <c r="C94" s="68" t="b">
        <v>0</v>
      </c>
      <c r="D94" s="69" t="s">
        <v>49</v>
      </c>
      <c r="E94" s="69" t="s">
        <v>67</v>
      </c>
      <c r="F94" s="69" t="s">
        <v>53</v>
      </c>
      <c r="G94" s="70"/>
      <c r="H94" s="104" t="b">
        <v>1</v>
      </c>
      <c r="I94" s="107"/>
      <c r="J94" s="108"/>
    </row>
    <row r="95" ht="57.0" hidden="1" customHeight="1" outlineLevel="1">
      <c r="A95" s="60" t="s">
        <v>192</v>
      </c>
      <c r="B95" s="61" t="b">
        <v>0</v>
      </c>
      <c r="C95" s="61" t="b">
        <v>0</v>
      </c>
      <c r="D95" s="62" t="s">
        <v>49</v>
      </c>
      <c r="E95" s="62" t="s">
        <v>67</v>
      </c>
      <c r="F95" s="62" t="s">
        <v>53</v>
      </c>
      <c r="G95" s="63"/>
      <c r="H95" s="103" t="b">
        <v>1</v>
      </c>
      <c r="I95" s="107"/>
      <c r="J95" s="108"/>
    </row>
    <row r="96" ht="57.0" hidden="1" customHeight="1" outlineLevel="1">
      <c r="A96" s="66" t="s">
        <v>193</v>
      </c>
      <c r="B96" s="68" t="b">
        <v>0</v>
      </c>
      <c r="C96" s="68" t="b">
        <v>0</v>
      </c>
      <c r="D96" s="69" t="s">
        <v>49</v>
      </c>
      <c r="E96" s="69" t="s">
        <v>67</v>
      </c>
      <c r="F96" s="69" t="s">
        <v>53</v>
      </c>
      <c r="G96" s="70"/>
      <c r="H96" s="104" t="b">
        <v>1</v>
      </c>
      <c r="I96" s="107"/>
      <c r="J96" s="108"/>
    </row>
    <row r="97" ht="57.0" hidden="1" customHeight="1" outlineLevel="1">
      <c r="A97" s="60" t="s">
        <v>194</v>
      </c>
      <c r="B97" s="61" t="b">
        <v>0</v>
      </c>
      <c r="C97" s="61" t="b">
        <v>0</v>
      </c>
      <c r="D97" s="62" t="s">
        <v>49</v>
      </c>
      <c r="E97" s="62" t="s">
        <v>67</v>
      </c>
      <c r="F97" s="62" t="s">
        <v>53</v>
      </c>
      <c r="G97" s="63"/>
      <c r="H97" s="103" t="b">
        <v>1</v>
      </c>
      <c r="I97" s="107"/>
      <c r="J97" s="108"/>
    </row>
    <row r="98" ht="57.0" customHeight="1" collapsed="1">
      <c r="A98" s="60" t="s">
        <v>195</v>
      </c>
      <c r="B98" s="61" t="b">
        <v>0</v>
      </c>
      <c r="C98" s="61" t="b">
        <v>0</v>
      </c>
      <c r="D98" s="62" t="s">
        <v>49</v>
      </c>
      <c r="E98" s="62" t="s">
        <v>52</v>
      </c>
      <c r="F98" s="62" t="s">
        <v>196</v>
      </c>
      <c r="G98" s="63"/>
      <c r="H98" s="103" t="b">
        <v>0</v>
      </c>
      <c r="I98" s="107"/>
      <c r="J98" s="108"/>
    </row>
    <row r="99" ht="57.0" hidden="1" customHeight="1" outlineLevel="1">
      <c r="A99" s="60" t="s">
        <v>197</v>
      </c>
      <c r="B99" s="61" t="b">
        <v>0</v>
      </c>
      <c r="C99" s="61" t="b">
        <v>0</v>
      </c>
      <c r="D99" s="62" t="s">
        <v>49</v>
      </c>
      <c r="E99" s="62" t="s">
        <v>67</v>
      </c>
      <c r="F99" s="62" t="s">
        <v>196</v>
      </c>
      <c r="G99" s="63"/>
      <c r="H99" s="103" t="b">
        <v>1</v>
      </c>
      <c r="I99" s="109"/>
      <c r="J99" s="110"/>
    </row>
    <row r="100" ht="57.0" hidden="1" customHeight="1" outlineLevel="1">
      <c r="A100" s="66" t="s">
        <v>198</v>
      </c>
      <c r="B100" s="68" t="b">
        <v>0</v>
      </c>
      <c r="C100" s="68" t="b">
        <v>0</v>
      </c>
      <c r="D100" s="69" t="s">
        <v>49</v>
      </c>
      <c r="E100" s="69" t="s">
        <v>67</v>
      </c>
      <c r="F100" s="69" t="s">
        <v>196</v>
      </c>
      <c r="G100" s="70"/>
      <c r="H100" s="104" t="b">
        <v>1</v>
      </c>
      <c r="I100" s="109"/>
      <c r="J100" s="110"/>
    </row>
    <row r="101" ht="57.0" hidden="1" customHeight="1" outlineLevel="1">
      <c r="A101" s="60" t="s">
        <v>199</v>
      </c>
      <c r="B101" s="61" t="b">
        <v>0</v>
      </c>
      <c r="C101" s="61" t="b">
        <v>0</v>
      </c>
      <c r="D101" s="62" t="s">
        <v>49</v>
      </c>
      <c r="E101" s="62" t="s">
        <v>67</v>
      </c>
      <c r="F101" s="62" t="s">
        <v>196</v>
      </c>
      <c r="G101" s="63"/>
      <c r="H101" s="103" t="b">
        <v>1</v>
      </c>
      <c r="I101" s="109"/>
      <c r="J101" s="110"/>
    </row>
    <row r="102" ht="57.0" hidden="1" customHeight="1" outlineLevel="1">
      <c r="A102" s="66" t="s">
        <v>200</v>
      </c>
      <c r="B102" s="68" t="b">
        <v>0</v>
      </c>
      <c r="C102" s="68" t="b">
        <v>0</v>
      </c>
      <c r="D102" s="69" t="s">
        <v>49</v>
      </c>
      <c r="E102" s="69" t="s">
        <v>67</v>
      </c>
      <c r="F102" s="69" t="s">
        <v>196</v>
      </c>
      <c r="G102" s="70"/>
      <c r="H102" s="104" t="b">
        <v>1</v>
      </c>
      <c r="I102" s="109"/>
      <c r="J102" s="110"/>
    </row>
    <row r="103" ht="57.0" hidden="1" customHeight="1" outlineLevel="1">
      <c r="A103" s="60" t="s">
        <v>201</v>
      </c>
      <c r="B103" s="61" t="b">
        <v>0</v>
      </c>
      <c r="C103" s="61" t="b">
        <v>0</v>
      </c>
      <c r="D103" s="62" t="s">
        <v>49</v>
      </c>
      <c r="E103" s="62" t="s">
        <v>67</v>
      </c>
      <c r="F103" s="62" t="s">
        <v>196</v>
      </c>
      <c r="G103" s="63"/>
      <c r="H103" s="103" t="b">
        <v>1</v>
      </c>
      <c r="I103" s="109"/>
      <c r="J103" s="110"/>
    </row>
    <row r="104" ht="57.0" hidden="1" customHeight="1" outlineLevel="1">
      <c r="A104" s="66" t="s">
        <v>202</v>
      </c>
      <c r="B104" s="68" t="b">
        <v>0</v>
      </c>
      <c r="C104" s="68" t="b">
        <v>0</v>
      </c>
      <c r="D104" s="69" t="s">
        <v>49</v>
      </c>
      <c r="E104" s="69" t="s">
        <v>67</v>
      </c>
      <c r="F104" s="69" t="s">
        <v>196</v>
      </c>
      <c r="G104" s="70"/>
      <c r="H104" s="104" t="b">
        <v>1</v>
      </c>
      <c r="I104" s="109"/>
      <c r="J104" s="110"/>
    </row>
    <row r="105" ht="57.0" hidden="1" customHeight="1" outlineLevel="1">
      <c r="A105" s="60" t="s">
        <v>203</v>
      </c>
      <c r="B105" s="61" t="b">
        <v>0</v>
      </c>
      <c r="C105" s="61" t="b">
        <v>0</v>
      </c>
      <c r="D105" s="62" t="s">
        <v>49</v>
      </c>
      <c r="E105" s="62" t="s">
        <v>67</v>
      </c>
      <c r="F105" s="62" t="s">
        <v>196</v>
      </c>
      <c r="G105" s="63"/>
      <c r="H105" s="103" t="b">
        <v>1</v>
      </c>
      <c r="I105" s="109"/>
      <c r="J105" s="110"/>
    </row>
    <row r="106" ht="57.0" hidden="1" customHeight="1" outlineLevel="1">
      <c r="A106" s="66" t="s">
        <v>204</v>
      </c>
      <c r="B106" s="68" t="b">
        <v>0</v>
      </c>
      <c r="C106" s="68" t="b">
        <v>0</v>
      </c>
      <c r="D106" s="69" t="s">
        <v>49</v>
      </c>
      <c r="E106" s="69" t="s">
        <v>67</v>
      </c>
      <c r="F106" s="69" t="s">
        <v>196</v>
      </c>
      <c r="G106" s="70"/>
      <c r="H106" s="104" t="b">
        <v>1</v>
      </c>
      <c r="I106" s="109"/>
      <c r="J106" s="110"/>
    </row>
    <row r="107" ht="57.0" hidden="1" customHeight="1" outlineLevel="1">
      <c r="A107" s="60" t="s">
        <v>205</v>
      </c>
      <c r="B107" s="61" t="b">
        <v>0</v>
      </c>
      <c r="C107" s="61" t="b">
        <v>0</v>
      </c>
      <c r="D107" s="62" t="s">
        <v>49</v>
      </c>
      <c r="E107" s="62" t="s">
        <v>67</v>
      </c>
      <c r="F107" s="62" t="s">
        <v>196</v>
      </c>
      <c r="G107" s="63"/>
      <c r="H107" s="103" t="b">
        <v>1</v>
      </c>
      <c r="I107" s="109"/>
      <c r="J107" s="110"/>
    </row>
    <row r="108" ht="57.0" hidden="1" customHeight="1" outlineLevel="1">
      <c r="A108" s="66" t="s">
        <v>206</v>
      </c>
      <c r="B108" s="68" t="b">
        <v>0</v>
      </c>
      <c r="C108" s="68" t="b">
        <v>0</v>
      </c>
      <c r="D108" s="69" t="s">
        <v>49</v>
      </c>
      <c r="E108" s="69" t="s">
        <v>67</v>
      </c>
      <c r="F108" s="69" t="s">
        <v>196</v>
      </c>
      <c r="G108" s="70"/>
      <c r="H108" s="104" t="b">
        <v>1</v>
      </c>
      <c r="I108" s="109"/>
      <c r="J108" s="110"/>
    </row>
    <row r="109" ht="57.0" hidden="1" customHeight="1" outlineLevel="1">
      <c r="A109" s="60" t="s">
        <v>207</v>
      </c>
      <c r="B109" s="61" t="b">
        <v>0</v>
      </c>
      <c r="C109" s="61" t="b">
        <v>0</v>
      </c>
      <c r="D109" s="62" t="s">
        <v>49</v>
      </c>
      <c r="E109" s="62" t="s">
        <v>67</v>
      </c>
      <c r="F109" s="62" t="s">
        <v>196</v>
      </c>
      <c r="G109" s="63"/>
      <c r="H109" s="103" t="b">
        <v>1</v>
      </c>
      <c r="I109" s="109"/>
      <c r="J109" s="110"/>
    </row>
    <row r="110" ht="57.0" hidden="1" customHeight="1" outlineLevel="1">
      <c r="A110" s="66" t="s">
        <v>208</v>
      </c>
      <c r="B110" s="68" t="b">
        <v>0</v>
      </c>
      <c r="C110" s="68" t="b">
        <v>0</v>
      </c>
      <c r="D110" s="69" t="s">
        <v>49</v>
      </c>
      <c r="E110" s="69" t="s">
        <v>67</v>
      </c>
      <c r="F110" s="69" t="s">
        <v>196</v>
      </c>
      <c r="G110" s="70"/>
      <c r="H110" s="104" t="b">
        <v>1</v>
      </c>
      <c r="I110" s="109"/>
      <c r="J110" s="110"/>
    </row>
    <row r="111" ht="57.0" hidden="1" customHeight="1" outlineLevel="1">
      <c r="A111" s="60" t="s">
        <v>209</v>
      </c>
      <c r="B111" s="61" t="b">
        <v>0</v>
      </c>
      <c r="C111" s="61" t="b">
        <v>0</v>
      </c>
      <c r="D111" s="62" t="s">
        <v>49</v>
      </c>
      <c r="E111" s="62" t="s">
        <v>67</v>
      </c>
      <c r="F111" s="62" t="s">
        <v>196</v>
      </c>
      <c r="G111" s="63"/>
      <c r="H111" s="103" t="b">
        <v>1</v>
      </c>
      <c r="I111" s="109"/>
      <c r="J111" s="110"/>
    </row>
    <row r="112" ht="57.0" customHeight="1" collapsed="1">
      <c r="A112" s="74" t="s">
        <v>210</v>
      </c>
      <c r="B112" s="75" t="b">
        <v>0</v>
      </c>
      <c r="C112" s="75" t="b">
        <v>0</v>
      </c>
      <c r="D112" s="76" t="s">
        <v>49</v>
      </c>
      <c r="E112" s="76" t="s">
        <v>52</v>
      </c>
      <c r="F112" s="76" t="s">
        <v>196</v>
      </c>
      <c r="G112" s="77"/>
      <c r="H112" s="106" t="b">
        <v>0</v>
      </c>
      <c r="I112" s="109"/>
      <c r="J112" s="110"/>
    </row>
    <row r="113" ht="57.0" hidden="1" customHeight="1" outlineLevel="1">
      <c r="A113" s="60" t="s">
        <v>211</v>
      </c>
      <c r="B113" s="61" t="b">
        <v>0</v>
      </c>
      <c r="C113" s="61" t="b">
        <v>0</v>
      </c>
      <c r="D113" s="62" t="s">
        <v>49</v>
      </c>
      <c r="E113" s="62" t="s">
        <v>67</v>
      </c>
      <c r="F113" s="62" t="s">
        <v>196</v>
      </c>
      <c r="G113" s="63"/>
      <c r="H113" s="103" t="b">
        <v>1</v>
      </c>
      <c r="I113" s="109"/>
      <c r="J113" s="110"/>
    </row>
    <row r="114" ht="57.0" hidden="1" customHeight="1" outlineLevel="1">
      <c r="A114" s="66" t="s">
        <v>212</v>
      </c>
      <c r="B114" s="68" t="b">
        <v>0</v>
      </c>
      <c r="C114" s="68" t="b">
        <v>0</v>
      </c>
      <c r="D114" s="69" t="s">
        <v>49</v>
      </c>
      <c r="E114" s="69" t="s">
        <v>67</v>
      </c>
      <c r="F114" s="69" t="s">
        <v>196</v>
      </c>
      <c r="G114" s="70"/>
      <c r="H114" s="104" t="b">
        <v>1</v>
      </c>
      <c r="I114" s="109"/>
      <c r="J114" s="110"/>
    </row>
    <row r="115" ht="57.0" hidden="1" customHeight="1" outlineLevel="1">
      <c r="A115" s="60" t="s">
        <v>213</v>
      </c>
      <c r="B115" s="61" t="b">
        <v>0</v>
      </c>
      <c r="C115" s="61" t="b">
        <v>0</v>
      </c>
      <c r="D115" s="62" t="s">
        <v>49</v>
      </c>
      <c r="E115" s="62" t="s">
        <v>67</v>
      </c>
      <c r="F115" s="62" t="s">
        <v>196</v>
      </c>
      <c r="G115" s="63"/>
      <c r="H115" s="103" t="b">
        <v>1</v>
      </c>
      <c r="I115" s="109"/>
      <c r="J115" s="110"/>
    </row>
    <row r="116" ht="57.0" hidden="1" customHeight="1" outlineLevel="1">
      <c r="A116" s="66" t="s">
        <v>214</v>
      </c>
      <c r="B116" s="68" t="b">
        <v>0</v>
      </c>
      <c r="C116" s="68" t="b">
        <v>0</v>
      </c>
      <c r="D116" s="69" t="s">
        <v>49</v>
      </c>
      <c r="E116" s="69" t="s">
        <v>67</v>
      </c>
      <c r="F116" s="69" t="s">
        <v>196</v>
      </c>
      <c r="G116" s="70"/>
      <c r="H116" s="104" t="b">
        <v>1</v>
      </c>
      <c r="I116" s="109"/>
      <c r="J116" s="110"/>
    </row>
    <row r="117" ht="57.0" hidden="1" customHeight="1" outlineLevel="1">
      <c r="A117" s="60" t="s">
        <v>215</v>
      </c>
      <c r="B117" s="61" t="b">
        <v>0</v>
      </c>
      <c r="C117" s="61" t="b">
        <v>0</v>
      </c>
      <c r="D117" s="62" t="s">
        <v>49</v>
      </c>
      <c r="E117" s="62" t="s">
        <v>67</v>
      </c>
      <c r="F117" s="62" t="s">
        <v>196</v>
      </c>
      <c r="G117" s="63"/>
      <c r="H117" s="103" t="b">
        <v>1</v>
      </c>
      <c r="I117" s="109"/>
      <c r="J117" s="110"/>
    </row>
    <row r="118" ht="57.0" hidden="1" customHeight="1" outlineLevel="1">
      <c r="A118" s="66" t="s">
        <v>216</v>
      </c>
      <c r="B118" s="68" t="b">
        <v>0</v>
      </c>
      <c r="C118" s="68" t="b">
        <v>0</v>
      </c>
      <c r="D118" s="69" t="s">
        <v>49</v>
      </c>
      <c r="E118" s="69" t="s">
        <v>67</v>
      </c>
      <c r="F118" s="69" t="s">
        <v>196</v>
      </c>
      <c r="G118" s="70"/>
      <c r="H118" s="104" t="b">
        <v>1</v>
      </c>
      <c r="I118" s="109"/>
      <c r="J118" s="110"/>
    </row>
    <row r="119" ht="57.0" hidden="1" customHeight="1" outlineLevel="1">
      <c r="A119" s="60" t="s">
        <v>217</v>
      </c>
      <c r="B119" s="61" t="b">
        <v>0</v>
      </c>
      <c r="C119" s="61" t="b">
        <v>0</v>
      </c>
      <c r="D119" s="62" t="s">
        <v>49</v>
      </c>
      <c r="E119" s="62" t="s">
        <v>67</v>
      </c>
      <c r="F119" s="62" t="s">
        <v>196</v>
      </c>
      <c r="G119" s="63"/>
      <c r="H119" s="103" t="b">
        <v>1</v>
      </c>
      <c r="I119" s="109"/>
      <c r="J119" s="110"/>
    </row>
    <row r="120" ht="57.0" hidden="1" customHeight="1" outlineLevel="1">
      <c r="A120" s="66" t="s">
        <v>218</v>
      </c>
      <c r="B120" s="68" t="b">
        <v>0</v>
      </c>
      <c r="C120" s="68" t="b">
        <v>0</v>
      </c>
      <c r="D120" s="69" t="s">
        <v>49</v>
      </c>
      <c r="E120" s="69" t="s">
        <v>67</v>
      </c>
      <c r="F120" s="69" t="s">
        <v>196</v>
      </c>
      <c r="G120" s="70"/>
      <c r="H120" s="104" t="b">
        <v>1</v>
      </c>
      <c r="I120" s="109"/>
      <c r="J120" s="110"/>
    </row>
    <row r="121" ht="57.0" hidden="1" customHeight="1" outlineLevel="1">
      <c r="A121" s="60" t="s">
        <v>219</v>
      </c>
      <c r="B121" s="61" t="b">
        <v>0</v>
      </c>
      <c r="C121" s="61" t="b">
        <v>0</v>
      </c>
      <c r="D121" s="62" t="s">
        <v>49</v>
      </c>
      <c r="E121" s="62" t="s">
        <v>67</v>
      </c>
      <c r="F121" s="62" t="s">
        <v>196</v>
      </c>
      <c r="G121" s="63"/>
      <c r="H121" s="103" t="b">
        <v>1</v>
      </c>
      <c r="I121" s="109"/>
      <c r="J121" s="110"/>
    </row>
    <row r="122" ht="57.0" hidden="1" customHeight="1" outlineLevel="1">
      <c r="A122" s="66" t="s">
        <v>220</v>
      </c>
      <c r="B122" s="68" t="b">
        <v>0</v>
      </c>
      <c r="C122" s="68" t="b">
        <v>0</v>
      </c>
      <c r="D122" s="69" t="s">
        <v>49</v>
      </c>
      <c r="E122" s="69" t="s">
        <v>67</v>
      </c>
      <c r="F122" s="69" t="s">
        <v>196</v>
      </c>
      <c r="G122" s="70"/>
      <c r="H122" s="104" t="b">
        <v>1</v>
      </c>
      <c r="I122" s="109"/>
      <c r="J122" s="110"/>
    </row>
    <row r="123" ht="57.0" hidden="1" customHeight="1" outlineLevel="1">
      <c r="A123" s="60" t="s">
        <v>221</v>
      </c>
      <c r="B123" s="61" t="b">
        <v>0</v>
      </c>
      <c r="C123" s="61" t="b">
        <v>0</v>
      </c>
      <c r="D123" s="62" t="s">
        <v>49</v>
      </c>
      <c r="E123" s="62" t="s">
        <v>67</v>
      </c>
      <c r="F123" s="62" t="s">
        <v>196</v>
      </c>
      <c r="G123" s="63"/>
      <c r="H123" s="103" t="b">
        <v>1</v>
      </c>
      <c r="I123" s="109"/>
      <c r="J123" s="110"/>
    </row>
    <row r="124" ht="57.0" hidden="1" customHeight="1" outlineLevel="1">
      <c r="A124" s="66" t="s">
        <v>222</v>
      </c>
      <c r="B124" s="68" t="b">
        <v>0</v>
      </c>
      <c r="C124" s="68" t="b">
        <v>0</v>
      </c>
      <c r="D124" s="69" t="s">
        <v>49</v>
      </c>
      <c r="E124" s="69" t="s">
        <v>67</v>
      </c>
      <c r="F124" s="69" t="s">
        <v>196</v>
      </c>
      <c r="G124" s="70"/>
      <c r="H124" s="104" t="b">
        <v>1</v>
      </c>
      <c r="I124" s="109"/>
      <c r="J124" s="110"/>
    </row>
    <row r="125" ht="57.0" hidden="1" customHeight="1" outlineLevel="1">
      <c r="A125" s="60" t="s">
        <v>223</v>
      </c>
      <c r="B125" s="61" t="b">
        <v>0</v>
      </c>
      <c r="C125" s="61" t="b">
        <v>0</v>
      </c>
      <c r="D125" s="62" t="s">
        <v>49</v>
      </c>
      <c r="E125" s="62" t="s">
        <v>67</v>
      </c>
      <c r="F125" s="62" t="s">
        <v>196</v>
      </c>
      <c r="G125" s="63"/>
      <c r="H125" s="103" t="b">
        <v>1</v>
      </c>
      <c r="I125" s="109"/>
      <c r="J125" s="110"/>
    </row>
    <row r="126" ht="57.0" customHeight="1" collapsed="1">
      <c r="A126" s="60" t="s">
        <v>224</v>
      </c>
      <c r="B126" s="61" t="b">
        <v>0</v>
      </c>
      <c r="C126" s="61" t="b">
        <v>0</v>
      </c>
      <c r="D126" s="62" t="s">
        <v>49</v>
      </c>
      <c r="E126" s="62" t="s">
        <v>166</v>
      </c>
      <c r="F126" s="62" t="s">
        <v>53</v>
      </c>
      <c r="G126" s="63"/>
      <c r="H126" s="103" t="b">
        <v>0</v>
      </c>
      <c r="I126" s="109"/>
      <c r="J126" s="110"/>
    </row>
    <row r="127" ht="57.0" hidden="1" customHeight="1" outlineLevel="1">
      <c r="A127" s="60" t="s">
        <v>225</v>
      </c>
      <c r="B127" s="61" t="b">
        <v>0</v>
      </c>
      <c r="C127" s="61" t="b">
        <v>0</v>
      </c>
      <c r="D127" s="62" t="s">
        <v>49</v>
      </c>
      <c r="E127" s="62" t="s">
        <v>67</v>
      </c>
      <c r="F127" s="62" t="s">
        <v>53</v>
      </c>
      <c r="G127" s="63"/>
      <c r="H127" s="103" t="b">
        <v>1</v>
      </c>
      <c r="I127" s="109"/>
      <c r="J127" s="110"/>
    </row>
    <row r="128" ht="57.0" hidden="1" customHeight="1" outlineLevel="1">
      <c r="A128" s="66" t="s">
        <v>226</v>
      </c>
      <c r="B128" s="68" t="b">
        <v>0</v>
      </c>
      <c r="C128" s="68" t="b">
        <v>0</v>
      </c>
      <c r="D128" s="69" t="s">
        <v>49</v>
      </c>
      <c r="E128" s="69" t="s">
        <v>67</v>
      </c>
      <c r="F128" s="69" t="s">
        <v>53</v>
      </c>
      <c r="G128" s="70"/>
      <c r="H128" s="104" t="b">
        <v>1</v>
      </c>
      <c r="I128" s="109"/>
      <c r="J128" s="110"/>
    </row>
    <row r="129" ht="57.0" hidden="1" customHeight="1" outlineLevel="1">
      <c r="A129" s="60" t="s">
        <v>227</v>
      </c>
      <c r="B129" s="61" t="b">
        <v>0</v>
      </c>
      <c r="C129" s="61" t="b">
        <v>0</v>
      </c>
      <c r="D129" s="62" t="s">
        <v>49</v>
      </c>
      <c r="E129" s="62" t="s">
        <v>67</v>
      </c>
      <c r="F129" s="62" t="s">
        <v>53</v>
      </c>
      <c r="G129" s="63"/>
      <c r="H129" s="103" t="b">
        <v>1</v>
      </c>
      <c r="I129" s="109"/>
      <c r="J129" s="110"/>
    </row>
    <row r="130" ht="57.0" hidden="1" customHeight="1" outlineLevel="1">
      <c r="A130" s="66" t="s">
        <v>228</v>
      </c>
      <c r="B130" s="68" t="b">
        <v>0</v>
      </c>
      <c r="C130" s="68" t="b">
        <v>0</v>
      </c>
      <c r="D130" s="69" t="s">
        <v>49</v>
      </c>
      <c r="E130" s="69" t="s">
        <v>67</v>
      </c>
      <c r="F130" s="69" t="s">
        <v>53</v>
      </c>
      <c r="G130" s="70"/>
      <c r="H130" s="104" t="b">
        <v>1</v>
      </c>
      <c r="I130" s="109"/>
      <c r="J130" s="110"/>
    </row>
    <row r="131" ht="57.0" hidden="1" customHeight="1" outlineLevel="1">
      <c r="A131" s="60" t="s">
        <v>229</v>
      </c>
      <c r="B131" s="61" t="b">
        <v>0</v>
      </c>
      <c r="C131" s="61" t="b">
        <v>0</v>
      </c>
      <c r="D131" s="62" t="s">
        <v>49</v>
      </c>
      <c r="E131" s="62" t="s">
        <v>67</v>
      </c>
      <c r="F131" s="62" t="s">
        <v>53</v>
      </c>
      <c r="G131" s="63"/>
      <c r="H131" s="103" t="b">
        <v>1</v>
      </c>
      <c r="I131" s="109"/>
      <c r="J131" s="110"/>
    </row>
    <row r="132" ht="57.0" hidden="1" customHeight="1" outlineLevel="1">
      <c r="A132" s="66" t="s">
        <v>230</v>
      </c>
      <c r="B132" s="68" t="b">
        <v>0</v>
      </c>
      <c r="C132" s="68" t="b">
        <v>0</v>
      </c>
      <c r="D132" s="69" t="s">
        <v>49</v>
      </c>
      <c r="E132" s="69" t="s">
        <v>67</v>
      </c>
      <c r="F132" s="69" t="s">
        <v>53</v>
      </c>
      <c r="G132" s="70"/>
      <c r="H132" s="104" t="b">
        <v>1</v>
      </c>
      <c r="I132" s="109"/>
      <c r="J132" s="110"/>
    </row>
    <row r="133" ht="57.0" hidden="1" customHeight="1" outlineLevel="1">
      <c r="A133" s="60" t="s">
        <v>231</v>
      </c>
      <c r="B133" s="61" t="b">
        <v>0</v>
      </c>
      <c r="C133" s="61" t="b">
        <v>0</v>
      </c>
      <c r="D133" s="62" t="s">
        <v>49</v>
      </c>
      <c r="E133" s="62" t="s">
        <v>67</v>
      </c>
      <c r="F133" s="62" t="s">
        <v>53</v>
      </c>
      <c r="G133" s="63"/>
      <c r="H133" s="103" t="b">
        <v>1</v>
      </c>
      <c r="I133" s="109"/>
      <c r="J133" s="110"/>
    </row>
    <row r="134" ht="57.0" hidden="1" customHeight="1" outlineLevel="1">
      <c r="A134" s="66" t="s">
        <v>232</v>
      </c>
      <c r="B134" s="68" t="b">
        <v>0</v>
      </c>
      <c r="C134" s="68" t="b">
        <v>0</v>
      </c>
      <c r="D134" s="69" t="s">
        <v>49</v>
      </c>
      <c r="E134" s="69" t="s">
        <v>67</v>
      </c>
      <c r="F134" s="69" t="s">
        <v>53</v>
      </c>
      <c r="G134" s="70"/>
      <c r="H134" s="104" t="b">
        <v>1</v>
      </c>
      <c r="I134" s="109"/>
      <c r="J134" s="110"/>
    </row>
    <row r="135" ht="57.0" hidden="1" customHeight="1" outlineLevel="1">
      <c r="A135" s="60" t="s">
        <v>233</v>
      </c>
      <c r="B135" s="61" t="b">
        <v>0</v>
      </c>
      <c r="C135" s="61" t="b">
        <v>0</v>
      </c>
      <c r="D135" s="62" t="s">
        <v>49</v>
      </c>
      <c r="E135" s="62" t="s">
        <v>67</v>
      </c>
      <c r="F135" s="62" t="s">
        <v>53</v>
      </c>
      <c r="G135" s="63"/>
      <c r="H135" s="103" t="b">
        <v>1</v>
      </c>
      <c r="I135" s="109"/>
      <c r="J135" s="110"/>
    </row>
    <row r="136" ht="57.0" hidden="1" customHeight="1" outlineLevel="1">
      <c r="A136" s="66" t="s">
        <v>234</v>
      </c>
      <c r="B136" s="68" t="b">
        <v>0</v>
      </c>
      <c r="C136" s="68" t="b">
        <v>0</v>
      </c>
      <c r="D136" s="69" t="s">
        <v>49</v>
      </c>
      <c r="E136" s="69" t="s">
        <v>67</v>
      </c>
      <c r="F136" s="69" t="s">
        <v>53</v>
      </c>
      <c r="G136" s="70"/>
      <c r="H136" s="104" t="b">
        <v>1</v>
      </c>
      <c r="I136" s="109"/>
      <c r="J136" s="110"/>
    </row>
    <row r="137" ht="57.0" hidden="1" customHeight="1" outlineLevel="1">
      <c r="A137" s="60" t="s">
        <v>235</v>
      </c>
      <c r="B137" s="61" t="b">
        <v>0</v>
      </c>
      <c r="C137" s="61" t="b">
        <v>0</v>
      </c>
      <c r="D137" s="62" t="s">
        <v>49</v>
      </c>
      <c r="E137" s="62" t="s">
        <v>67</v>
      </c>
      <c r="F137" s="62" t="s">
        <v>53</v>
      </c>
      <c r="G137" s="63"/>
      <c r="H137" s="103" t="b">
        <v>1</v>
      </c>
      <c r="I137" s="109"/>
      <c r="J137" s="110"/>
    </row>
    <row r="138" ht="57.0" hidden="1" customHeight="1" outlineLevel="1">
      <c r="A138" s="66" t="s">
        <v>236</v>
      </c>
      <c r="B138" s="68" t="b">
        <v>0</v>
      </c>
      <c r="C138" s="68" t="b">
        <v>0</v>
      </c>
      <c r="D138" s="69" t="s">
        <v>49</v>
      </c>
      <c r="E138" s="69" t="s">
        <v>67</v>
      </c>
      <c r="F138" s="69" t="s">
        <v>53</v>
      </c>
      <c r="G138" s="70"/>
      <c r="H138" s="104" t="b">
        <v>1</v>
      </c>
      <c r="I138" s="109"/>
      <c r="J138" s="110"/>
    </row>
    <row r="139" ht="57.0" hidden="1" customHeight="1" outlineLevel="1">
      <c r="A139" s="60" t="s">
        <v>237</v>
      </c>
      <c r="B139" s="61" t="b">
        <v>0</v>
      </c>
      <c r="C139" s="61" t="b">
        <v>0</v>
      </c>
      <c r="D139" s="62" t="s">
        <v>49</v>
      </c>
      <c r="E139" s="62" t="s">
        <v>67</v>
      </c>
      <c r="F139" s="62" t="s">
        <v>53</v>
      </c>
      <c r="G139" s="63"/>
      <c r="H139" s="103" t="b">
        <v>1</v>
      </c>
      <c r="I139" s="109"/>
      <c r="J139" s="110"/>
    </row>
    <row r="140" ht="57.0" hidden="1" customHeight="1" outlineLevel="1">
      <c r="A140" s="66" t="s">
        <v>238</v>
      </c>
      <c r="B140" s="68" t="b">
        <v>0</v>
      </c>
      <c r="C140" s="68" t="b">
        <v>0</v>
      </c>
      <c r="D140" s="69" t="s">
        <v>49</v>
      </c>
      <c r="E140" s="69" t="s">
        <v>67</v>
      </c>
      <c r="F140" s="69" t="s">
        <v>53</v>
      </c>
      <c r="G140" s="70"/>
      <c r="H140" s="104" t="b">
        <v>1</v>
      </c>
      <c r="I140" s="109"/>
      <c r="J140" s="110"/>
    </row>
    <row r="141" ht="57.0" customHeight="1" collapsed="1">
      <c r="A141" s="74" t="s">
        <v>239</v>
      </c>
      <c r="B141" s="75" t="b">
        <v>0</v>
      </c>
      <c r="C141" s="75" t="b">
        <v>0</v>
      </c>
      <c r="D141" s="76" t="s">
        <v>49</v>
      </c>
      <c r="E141" s="76" t="s">
        <v>52</v>
      </c>
      <c r="F141" s="76" t="s">
        <v>196</v>
      </c>
      <c r="G141" s="77"/>
      <c r="H141" s="106" t="b">
        <v>0</v>
      </c>
      <c r="I141" s="109"/>
      <c r="J141" s="110"/>
    </row>
    <row r="142" ht="57.0" hidden="1" customHeight="1" outlineLevel="1">
      <c r="A142" s="60" t="s">
        <v>240</v>
      </c>
      <c r="B142" s="61" t="b">
        <v>0</v>
      </c>
      <c r="C142" s="61" t="b">
        <v>0</v>
      </c>
      <c r="D142" s="62" t="s">
        <v>49</v>
      </c>
      <c r="E142" s="62" t="s">
        <v>67</v>
      </c>
      <c r="F142" s="62" t="s">
        <v>196</v>
      </c>
      <c r="G142" s="63"/>
      <c r="H142" s="103" t="b">
        <v>1</v>
      </c>
      <c r="I142" s="109"/>
      <c r="J142" s="110"/>
    </row>
    <row r="143" ht="57.0" hidden="1" customHeight="1" outlineLevel="1">
      <c r="A143" s="66" t="s">
        <v>241</v>
      </c>
      <c r="B143" s="68" t="b">
        <v>0</v>
      </c>
      <c r="C143" s="68" t="b">
        <v>0</v>
      </c>
      <c r="D143" s="69" t="s">
        <v>49</v>
      </c>
      <c r="E143" s="69" t="s">
        <v>67</v>
      </c>
      <c r="F143" s="69" t="s">
        <v>196</v>
      </c>
      <c r="G143" s="70"/>
      <c r="H143" s="104" t="b">
        <v>1</v>
      </c>
      <c r="I143" s="109"/>
      <c r="J143" s="110"/>
    </row>
    <row r="144" ht="57.0" hidden="1" customHeight="1" outlineLevel="1">
      <c r="A144" s="60" t="s">
        <v>242</v>
      </c>
      <c r="B144" s="61" t="b">
        <v>0</v>
      </c>
      <c r="C144" s="61" t="b">
        <v>0</v>
      </c>
      <c r="D144" s="62" t="s">
        <v>49</v>
      </c>
      <c r="E144" s="62" t="s">
        <v>67</v>
      </c>
      <c r="F144" s="62" t="s">
        <v>196</v>
      </c>
      <c r="G144" s="63"/>
      <c r="H144" s="103" t="b">
        <v>1</v>
      </c>
      <c r="I144" s="109"/>
      <c r="J144" s="110"/>
    </row>
    <row r="145" ht="57.0" hidden="1" customHeight="1" outlineLevel="1">
      <c r="A145" s="66" t="s">
        <v>243</v>
      </c>
      <c r="B145" s="68" t="b">
        <v>0</v>
      </c>
      <c r="C145" s="68" t="b">
        <v>0</v>
      </c>
      <c r="D145" s="69" t="s">
        <v>49</v>
      </c>
      <c r="E145" s="69" t="s">
        <v>67</v>
      </c>
      <c r="F145" s="69" t="s">
        <v>196</v>
      </c>
      <c r="G145" s="70"/>
      <c r="H145" s="104" t="b">
        <v>1</v>
      </c>
      <c r="I145" s="109"/>
      <c r="J145" s="110"/>
    </row>
    <row r="146" ht="57.0" hidden="1" customHeight="1" outlineLevel="1">
      <c r="A146" s="60" t="s">
        <v>244</v>
      </c>
      <c r="B146" s="61" t="b">
        <v>0</v>
      </c>
      <c r="C146" s="61" t="b">
        <v>0</v>
      </c>
      <c r="D146" s="62" t="s">
        <v>49</v>
      </c>
      <c r="E146" s="62" t="s">
        <v>67</v>
      </c>
      <c r="F146" s="62" t="s">
        <v>196</v>
      </c>
      <c r="G146" s="63"/>
      <c r="H146" s="103" t="b">
        <v>1</v>
      </c>
      <c r="I146" s="109"/>
      <c r="J146" s="110"/>
    </row>
    <row r="147" ht="57.0" hidden="1" customHeight="1" outlineLevel="1">
      <c r="A147" s="66" t="s">
        <v>245</v>
      </c>
      <c r="B147" s="68" t="b">
        <v>0</v>
      </c>
      <c r="C147" s="68" t="b">
        <v>0</v>
      </c>
      <c r="D147" s="69" t="s">
        <v>49</v>
      </c>
      <c r="E147" s="69" t="s">
        <v>67</v>
      </c>
      <c r="F147" s="69" t="s">
        <v>196</v>
      </c>
      <c r="G147" s="70"/>
      <c r="H147" s="104" t="b">
        <v>1</v>
      </c>
      <c r="I147" s="109"/>
      <c r="J147" s="110"/>
    </row>
    <row r="148" ht="57.0" hidden="1" customHeight="1" outlineLevel="1">
      <c r="A148" s="60" t="s">
        <v>246</v>
      </c>
      <c r="B148" s="61" t="b">
        <v>0</v>
      </c>
      <c r="C148" s="61" t="b">
        <v>0</v>
      </c>
      <c r="D148" s="62" t="s">
        <v>49</v>
      </c>
      <c r="E148" s="62" t="s">
        <v>67</v>
      </c>
      <c r="F148" s="62" t="s">
        <v>196</v>
      </c>
      <c r="G148" s="63"/>
      <c r="H148" s="103" t="b">
        <v>1</v>
      </c>
      <c r="I148" s="109"/>
      <c r="J148" s="110"/>
    </row>
    <row r="149" ht="57.0" hidden="1" customHeight="1" outlineLevel="1">
      <c r="A149" s="66" t="s">
        <v>247</v>
      </c>
      <c r="B149" s="68" t="b">
        <v>0</v>
      </c>
      <c r="C149" s="68" t="b">
        <v>0</v>
      </c>
      <c r="D149" s="69" t="s">
        <v>49</v>
      </c>
      <c r="E149" s="69" t="s">
        <v>67</v>
      </c>
      <c r="F149" s="69" t="s">
        <v>196</v>
      </c>
      <c r="G149" s="70"/>
      <c r="H149" s="104" t="b">
        <v>1</v>
      </c>
      <c r="I149" s="109"/>
      <c r="J149" s="110"/>
    </row>
    <row r="150" ht="57.0" hidden="1" customHeight="1" outlineLevel="1">
      <c r="A150" s="60" t="s">
        <v>248</v>
      </c>
      <c r="B150" s="61" t="b">
        <v>0</v>
      </c>
      <c r="C150" s="61" t="b">
        <v>0</v>
      </c>
      <c r="D150" s="62" t="s">
        <v>49</v>
      </c>
      <c r="E150" s="62" t="s">
        <v>67</v>
      </c>
      <c r="F150" s="62" t="s">
        <v>196</v>
      </c>
      <c r="G150" s="63"/>
      <c r="H150" s="103" t="b">
        <v>1</v>
      </c>
      <c r="I150" s="109"/>
      <c r="J150" s="110"/>
    </row>
    <row r="151" ht="57.0" hidden="1" customHeight="1" outlineLevel="1">
      <c r="A151" s="66" t="s">
        <v>249</v>
      </c>
      <c r="B151" s="68" t="b">
        <v>0</v>
      </c>
      <c r="C151" s="68" t="b">
        <v>0</v>
      </c>
      <c r="D151" s="69" t="s">
        <v>49</v>
      </c>
      <c r="E151" s="69" t="s">
        <v>67</v>
      </c>
      <c r="F151" s="69" t="s">
        <v>196</v>
      </c>
      <c r="G151" s="70"/>
      <c r="H151" s="104" t="b">
        <v>1</v>
      </c>
      <c r="I151" s="109"/>
      <c r="J151" s="110"/>
    </row>
    <row r="152" ht="57.0" hidden="1" customHeight="1" outlineLevel="1">
      <c r="A152" s="60" t="s">
        <v>250</v>
      </c>
      <c r="B152" s="61" t="b">
        <v>0</v>
      </c>
      <c r="C152" s="61" t="b">
        <v>0</v>
      </c>
      <c r="D152" s="62" t="s">
        <v>49</v>
      </c>
      <c r="E152" s="62" t="s">
        <v>67</v>
      </c>
      <c r="F152" s="62" t="s">
        <v>196</v>
      </c>
      <c r="G152" s="63"/>
      <c r="H152" s="103" t="b">
        <v>1</v>
      </c>
      <c r="I152" s="109"/>
      <c r="J152" s="110"/>
    </row>
    <row r="153" ht="57.0" hidden="1" customHeight="1" outlineLevel="1">
      <c r="A153" s="66" t="s">
        <v>251</v>
      </c>
      <c r="B153" s="68" t="b">
        <v>0</v>
      </c>
      <c r="C153" s="68" t="b">
        <v>0</v>
      </c>
      <c r="D153" s="69" t="s">
        <v>49</v>
      </c>
      <c r="E153" s="69" t="s">
        <v>67</v>
      </c>
      <c r="F153" s="69" t="s">
        <v>196</v>
      </c>
      <c r="G153" s="70"/>
      <c r="H153" s="104" t="b">
        <v>1</v>
      </c>
      <c r="I153" s="109"/>
      <c r="J153" s="110"/>
    </row>
    <row r="154" ht="57.0" hidden="1" customHeight="1" outlineLevel="1">
      <c r="A154" s="60" t="s">
        <v>252</v>
      </c>
      <c r="B154" s="61" t="b">
        <v>0</v>
      </c>
      <c r="C154" s="61" t="b">
        <v>0</v>
      </c>
      <c r="D154" s="62" t="s">
        <v>49</v>
      </c>
      <c r="E154" s="62" t="s">
        <v>67</v>
      </c>
      <c r="F154" s="62" t="s">
        <v>196</v>
      </c>
      <c r="G154" s="63"/>
      <c r="H154" s="103" t="b">
        <v>1</v>
      </c>
      <c r="I154" s="109"/>
      <c r="J154" s="110"/>
    </row>
    <row r="155" ht="57.0" customHeight="1" collapsed="1">
      <c r="A155" s="60" t="s">
        <v>253</v>
      </c>
      <c r="B155" s="61" t="b">
        <v>0</v>
      </c>
      <c r="C155" s="61" t="b">
        <v>0</v>
      </c>
      <c r="D155" s="62" t="s">
        <v>49</v>
      </c>
      <c r="E155" s="62" t="s">
        <v>52</v>
      </c>
      <c r="F155" s="62" t="s">
        <v>196</v>
      </c>
      <c r="G155" s="63"/>
      <c r="H155" s="103" t="b">
        <v>0</v>
      </c>
      <c r="I155" s="109"/>
      <c r="J155" s="110"/>
    </row>
    <row r="156" ht="57.0" hidden="1" customHeight="1" outlineLevel="1">
      <c r="A156" s="60" t="s">
        <v>254</v>
      </c>
      <c r="B156" s="61" t="b">
        <v>0</v>
      </c>
      <c r="C156" s="61" t="b">
        <v>0</v>
      </c>
      <c r="D156" s="62" t="s">
        <v>49</v>
      </c>
      <c r="E156" s="62" t="s">
        <v>67</v>
      </c>
      <c r="F156" s="62" t="s">
        <v>196</v>
      </c>
      <c r="G156" s="63"/>
      <c r="H156" s="103" t="b">
        <v>1</v>
      </c>
      <c r="I156" s="109"/>
      <c r="J156" s="110"/>
    </row>
    <row r="157" ht="57.0" hidden="1" customHeight="1" outlineLevel="1">
      <c r="A157" s="66" t="s">
        <v>255</v>
      </c>
      <c r="B157" s="68" t="b">
        <v>0</v>
      </c>
      <c r="C157" s="68" t="b">
        <v>0</v>
      </c>
      <c r="D157" s="69" t="s">
        <v>49</v>
      </c>
      <c r="E157" s="69" t="s">
        <v>67</v>
      </c>
      <c r="F157" s="69" t="s">
        <v>196</v>
      </c>
      <c r="G157" s="70"/>
      <c r="H157" s="104" t="b">
        <v>1</v>
      </c>
      <c r="I157" s="109"/>
      <c r="J157" s="110"/>
    </row>
    <row r="158" ht="57.0" hidden="1" customHeight="1" outlineLevel="1">
      <c r="A158" s="60" t="s">
        <v>256</v>
      </c>
      <c r="B158" s="61" t="b">
        <v>0</v>
      </c>
      <c r="C158" s="61" t="b">
        <v>0</v>
      </c>
      <c r="D158" s="62" t="s">
        <v>49</v>
      </c>
      <c r="E158" s="62" t="s">
        <v>67</v>
      </c>
      <c r="F158" s="62" t="s">
        <v>196</v>
      </c>
      <c r="G158" s="63"/>
      <c r="H158" s="103" t="b">
        <v>1</v>
      </c>
      <c r="I158" s="109"/>
      <c r="J158" s="110"/>
    </row>
    <row r="159" ht="57.0" hidden="1" customHeight="1" outlineLevel="1">
      <c r="A159" s="66" t="s">
        <v>257</v>
      </c>
      <c r="B159" s="68" t="b">
        <v>0</v>
      </c>
      <c r="C159" s="68" t="b">
        <v>0</v>
      </c>
      <c r="D159" s="69" t="s">
        <v>49</v>
      </c>
      <c r="E159" s="69" t="s">
        <v>67</v>
      </c>
      <c r="F159" s="69" t="s">
        <v>196</v>
      </c>
      <c r="G159" s="70"/>
      <c r="H159" s="104" t="b">
        <v>1</v>
      </c>
      <c r="I159" s="109"/>
      <c r="J159" s="110"/>
    </row>
    <row r="160" ht="57.0" hidden="1" customHeight="1" outlineLevel="1">
      <c r="A160" s="60" t="s">
        <v>258</v>
      </c>
      <c r="B160" s="61" t="b">
        <v>0</v>
      </c>
      <c r="C160" s="61" t="b">
        <v>0</v>
      </c>
      <c r="D160" s="62" t="s">
        <v>49</v>
      </c>
      <c r="E160" s="62" t="s">
        <v>67</v>
      </c>
      <c r="F160" s="62" t="s">
        <v>196</v>
      </c>
      <c r="G160" s="63"/>
      <c r="H160" s="103" t="b">
        <v>1</v>
      </c>
      <c r="I160" s="109"/>
      <c r="J160" s="110"/>
    </row>
    <row r="161" ht="57.0" hidden="1" customHeight="1" outlineLevel="1">
      <c r="A161" s="66" t="s">
        <v>259</v>
      </c>
      <c r="B161" s="68" t="b">
        <v>0</v>
      </c>
      <c r="C161" s="68" t="b">
        <v>0</v>
      </c>
      <c r="D161" s="69" t="s">
        <v>49</v>
      </c>
      <c r="E161" s="69" t="s">
        <v>67</v>
      </c>
      <c r="F161" s="69" t="s">
        <v>196</v>
      </c>
      <c r="G161" s="70"/>
      <c r="H161" s="104" t="b">
        <v>1</v>
      </c>
      <c r="I161" s="109"/>
      <c r="J161" s="110"/>
    </row>
    <row r="162" ht="57.0" hidden="1" customHeight="1" outlineLevel="1">
      <c r="A162" s="60" t="s">
        <v>260</v>
      </c>
      <c r="B162" s="61" t="b">
        <v>0</v>
      </c>
      <c r="C162" s="61" t="b">
        <v>0</v>
      </c>
      <c r="D162" s="62" t="s">
        <v>49</v>
      </c>
      <c r="E162" s="62" t="s">
        <v>67</v>
      </c>
      <c r="F162" s="62" t="s">
        <v>196</v>
      </c>
      <c r="G162" s="63"/>
      <c r="H162" s="103" t="b">
        <v>1</v>
      </c>
      <c r="I162" s="109"/>
      <c r="J162" s="110"/>
    </row>
    <row r="163" ht="57.0" hidden="1" customHeight="1" outlineLevel="1">
      <c r="A163" s="66" t="s">
        <v>261</v>
      </c>
      <c r="B163" s="68" t="b">
        <v>0</v>
      </c>
      <c r="C163" s="68" t="b">
        <v>0</v>
      </c>
      <c r="D163" s="69" t="s">
        <v>49</v>
      </c>
      <c r="E163" s="69" t="s">
        <v>67</v>
      </c>
      <c r="F163" s="69" t="s">
        <v>196</v>
      </c>
      <c r="G163" s="70"/>
      <c r="H163" s="104" t="b">
        <v>1</v>
      </c>
      <c r="I163" s="109"/>
      <c r="J163" s="110"/>
    </row>
    <row r="164" ht="57.0" hidden="1" customHeight="1" outlineLevel="1">
      <c r="A164" s="60" t="s">
        <v>262</v>
      </c>
      <c r="B164" s="61" t="b">
        <v>0</v>
      </c>
      <c r="C164" s="61" t="b">
        <v>0</v>
      </c>
      <c r="D164" s="62" t="s">
        <v>49</v>
      </c>
      <c r="E164" s="62" t="s">
        <v>67</v>
      </c>
      <c r="F164" s="62" t="s">
        <v>196</v>
      </c>
      <c r="G164" s="63"/>
      <c r="H164" s="103" t="b">
        <v>1</v>
      </c>
      <c r="I164" s="109"/>
      <c r="J164" s="110"/>
    </row>
    <row r="165" ht="57.0" hidden="1" customHeight="1" outlineLevel="1">
      <c r="A165" s="66" t="s">
        <v>263</v>
      </c>
      <c r="B165" s="68" t="b">
        <v>0</v>
      </c>
      <c r="C165" s="68" t="b">
        <v>0</v>
      </c>
      <c r="D165" s="69" t="s">
        <v>49</v>
      </c>
      <c r="E165" s="69" t="s">
        <v>67</v>
      </c>
      <c r="F165" s="69" t="s">
        <v>196</v>
      </c>
      <c r="G165" s="70"/>
      <c r="H165" s="104" t="b">
        <v>1</v>
      </c>
      <c r="I165" s="109"/>
      <c r="J165" s="110"/>
    </row>
    <row r="166" ht="57.0" hidden="1" customHeight="1" outlineLevel="1">
      <c r="A166" s="60" t="s">
        <v>264</v>
      </c>
      <c r="B166" s="61" t="b">
        <v>0</v>
      </c>
      <c r="C166" s="61" t="b">
        <v>0</v>
      </c>
      <c r="D166" s="62" t="s">
        <v>49</v>
      </c>
      <c r="E166" s="62" t="s">
        <v>67</v>
      </c>
      <c r="F166" s="62" t="s">
        <v>196</v>
      </c>
      <c r="G166" s="63"/>
      <c r="H166" s="103" t="b">
        <v>1</v>
      </c>
      <c r="I166" s="109"/>
      <c r="J166" s="110"/>
    </row>
    <row r="167" ht="57.0" hidden="1" customHeight="1" outlineLevel="1">
      <c r="A167" s="66" t="s">
        <v>265</v>
      </c>
      <c r="B167" s="68" t="b">
        <v>0</v>
      </c>
      <c r="C167" s="68" t="b">
        <v>0</v>
      </c>
      <c r="D167" s="69" t="s">
        <v>49</v>
      </c>
      <c r="E167" s="69" t="s">
        <v>67</v>
      </c>
      <c r="F167" s="69" t="s">
        <v>196</v>
      </c>
      <c r="G167" s="70"/>
      <c r="H167" s="104" t="b">
        <v>1</v>
      </c>
      <c r="I167" s="109"/>
      <c r="J167" s="110"/>
    </row>
    <row r="168" ht="57.0" hidden="1" customHeight="1" outlineLevel="1">
      <c r="A168" s="60" t="s">
        <v>266</v>
      </c>
      <c r="B168" s="61" t="b">
        <v>0</v>
      </c>
      <c r="C168" s="61" t="b">
        <v>0</v>
      </c>
      <c r="D168" s="62" t="s">
        <v>49</v>
      </c>
      <c r="E168" s="62" t="s">
        <v>67</v>
      </c>
      <c r="F168" s="62" t="s">
        <v>196</v>
      </c>
      <c r="G168" s="63"/>
      <c r="H168" s="103" t="b">
        <v>1</v>
      </c>
      <c r="I168" s="109"/>
      <c r="J168" s="110"/>
    </row>
    <row r="169" ht="57.0" customHeight="1" collapsed="1">
      <c r="A169" s="74" t="s">
        <v>267</v>
      </c>
      <c r="B169" s="75" t="b">
        <v>0</v>
      </c>
      <c r="C169" s="75" t="b">
        <v>0</v>
      </c>
      <c r="D169" s="76" t="s">
        <v>49</v>
      </c>
      <c r="E169" s="76" t="s">
        <v>52</v>
      </c>
      <c r="F169" s="76" t="s">
        <v>196</v>
      </c>
      <c r="G169" s="77"/>
      <c r="H169" s="106" t="b">
        <v>0</v>
      </c>
      <c r="I169" s="109"/>
      <c r="J169" s="111"/>
    </row>
    <row r="170" ht="57.0" hidden="1" customHeight="1" outlineLevel="1">
      <c r="A170" s="60" t="s">
        <v>268</v>
      </c>
      <c r="B170" s="61" t="b">
        <v>0</v>
      </c>
      <c r="C170" s="61" t="b">
        <v>0</v>
      </c>
      <c r="D170" s="62" t="s">
        <v>49</v>
      </c>
      <c r="E170" s="62" t="s">
        <v>67</v>
      </c>
      <c r="F170" s="62" t="s">
        <v>196</v>
      </c>
      <c r="G170" s="63"/>
      <c r="H170" s="103" t="b">
        <v>1</v>
      </c>
      <c r="I170" s="109"/>
      <c r="J170" s="111"/>
    </row>
    <row r="171" ht="57.0" hidden="1" customHeight="1" outlineLevel="1">
      <c r="A171" s="66" t="s">
        <v>269</v>
      </c>
      <c r="B171" s="68" t="b">
        <v>0</v>
      </c>
      <c r="C171" s="68" t="b">
        <v>0</v>
      </c>
      <c r="D171" s="69" t="s">
        <v>49</v>
      </c>
      <c r="E171" s="69" t="s">
        <v>67</v>
      </c>
      <c r="F171" s="69" t="s">
        <v>196</v>
      </c>
      <c r="G171" s="70"/>
      <c r="H171" s="104" t="b">
        <v>1</v>
      </c>
      <c r="I171" s="109"/>
      <c r="J171" s="111"/>
    </row>
    <row r="172" ht="57.0" hidden="1" customHeight="1" outlineLevel="1">
      <c r="A172" s="60" t="s">
        <v>270</v>
      </c>
      <c r="B172" s="61" t="b">
        <v>0</v>
      </c>
      <c r="C172" s="61" t="b">
        <v>0</v>
      </c>
      <c r="D172" s="62" t="s">
        <v>49</v>
      </c>
      <c r="E172" s="62" t="s">
        <v>67</v>
      </c>
      <c r="F172" s="62" t="s">
        <v>196</v>
      </c>
      <c r="G172" s="63"/>
      <c r="H172" s="103" t="b">
        <v>1</v>
      </c>
      <c r="I172" s="109"/>
      <c r="J172" s="111"/>
    </row>
    <row r="173" ht="57.0" hidden="1" customHeight="1" outlineLevel="1">
      <c r="A173" s="66" t="s">
        <v>271</v>
      </c>
      <c r="B173" s="68" t="b">
        <v>0</v>
      </c>
      <c r="C173" s="68" t="b">
        <v>0</v>
      </c>
      <c r="D173" s="69" t="s">
        <v>49</v>
      </c>
      <c r="E173" s="69" t="s">
        <v>67</v>
      </c>
      <c r="F173" s="69" t="s">
        <v>196</v>
      </c>
      <c r="G173" s="70"/>
      <c r="H173" s="104" t="b">
        <v>1</v>
      </c>
      <c r="I173" s="109"/>
      <c r="J173" s="111"/>
    </row>
    <row r="174" ht="57.0" hidden="1" customHeight="1" outlineLevel="1">
      <c r="A174" s="60" t="s">
        <v>272</v>
      </c>
      <c r="B174" s="61" t="b">
        <v>0</v>
      </c>
      <c r="C174" s="61" t="b">
        <v>0</v>
      </c>
      <c r="D174" s="62" t="s">
        <v>49</v>
      </c>
      <c r="E174" s="62" t="s">
        <v>67</v>
      </c>
      <c r="F174" s="62" t="s">
        <v>196</v>
      </c>
      <c r="G174" s="63"/>
      <c r="H174" s="103" t="b">
        <v>1</v>
      </c>
      <c r="I174" s="109"/>
      <c r="J174" s="111"/>
    </row>
    <row r="175" ht="57.0" hidden="1" customHeight="1" outlineLevel="1">
      <c r="A175" s="66" t="s">
        <v>273</v>
      </c>
      <c r="B175" s="68" t="b">
        <v>0</v>
      </c>
      <c r="C175" s="68" t="b">
        <v>0</v>
      </c>
      <c r="D175" s="69" t="s">
        <v>49</v>
      </c>
      <c r="E175" s="69" t="s">
        <v>67</v>
      </c>
      <c r="F175" s="69" t="s">
        <v>196</v>
      </c>
      <c r="G175" s="70"/>
      <c r="H175" s="104" t="b">
        <v>1</v>
      </c>
      <c r="I175" s="109"/>
      <c r="J175" s="111"/>
    </row>
    <row r="176" ht="57.0" hidden="1" customHeight="1" outlineLevel="1">
      <c r="A176" s="60" t="s">
        <v>274</v>
      </c>
      <c r="B176" s="61" t="b">
        <v>0</v>
      </c>
      <c r="C176" s="61" t="b">
        <v>0</v>
      </c>
      <c r="D176" s="62" t="s">
        <v>49</v>
      </c>
      <c r="E176" s="62" t="s">
        <v>67</v>
      </c>
      <c r="F176" s="62" t="s">
        <v>196</v>
      </c>
      <c r="G176" s="63"/>
      <c r="H176" s="103" t="b">
        <v>1</v>
      </c>
      <c r="I176" s="109"/>
      <c r="J176" s="111"/>
    </row>
    <row r="177" ht="57.0" hidden="1" customHeight="1" outlineLevel="1">
      <c r="A177" s="66" t="s">
        <v>275</v>
      </c>
      <c r="B177" s="68" t="b">
        <v>0</v>
      </c>
      <c r="C177" s="68" t="b">
        <v>0</v>
      </c>
      <c r="D177" s="69" t="s">
        <v>49</v>
      </c>
      <c r="E177" s="69" t="s">
        <v>67</v>
      </c>
      <c r="F177" s="69" t="s">
        <v>196</v>
      </c>
      <c r="G177" s="70"/>
      <c r="H177" s="104" t="b">
        <v>1</v>
      </c>
      <c r="I177" s="109"/>
      <c r="J177" s="111"/>
    </row>
    <row r="178" ht="57.0" hidden="1" customHeight="1" outlineLevel="1">
      <c r="A178" s="60" t="s">
        <v>276</v>
      </c>
      <c r="B178" s="61" t="b">
        <v>0</v>
      </c>
      <c r="C178" s="61" t="b">
        <v>0</v>
      </c>
      <c r="D178" s="62" t="s">
        <v>49</v>
      </c>
      <c r="E178" s="62" t="s">
        <v>67</v>
      </c>
      <c r="F178" s="62" t="s">
        <v>196</v>
      </c>
      <c r="G178" s="63"/>
      <c r="H178" s="103" t="b">
        <v>1</v>
      </c>
      <c r="I178" s="109"/>
      <c r="J178" s="111"/>
    </row>
    <row r="179" ht="57.0" hidden="1" customHeight="1" outlineLevel="1">
      <c r="A179" s="66" t="s">
        <v>277</v>
      </c>
      <c r="B179" s="68" t="b">
        <v>0</v>
      </c>
      <c r="C179" s="68" t="b">
        <v>0</v>
      </c>
      <c r="D179" s="69" t="s">
        <v>49</v>
      </c>
      <c r="E179" s="69" t="s">
        <v>67</v>
      </c>
      <c r="F179" s="69" t="s">
        <v>196</v>
      </c>
      <c r="G179" s="70"/>
      <c r="H179" s="104" t="b">
        <v>1</v>
      </c>
      <c r="I179" s="109"/>
      <c r="J179" s="111"/>
    </row>
    <row r="180" ht="57.0" hidden="1" customHeight="1" outlineLevel="1">
      <c r="A180" s="60" t="s">
        <v>278</v>
      </c>
      <c r="B180" s="61" t="b">
        <v>0</v>
      </c>
      <c r="C180" s="61" t="b">
        <v>0</v>
      </c>
      <c r="D180" s="62" t="s">
        <v>49</v>
      </c>
      <c r="E180" s="62" t="s">
        <v>67</v>
      </c>
      <c r="F180" s="62" t="s">
        <v>196</v>
      </c>
      <c r="G180" s="63"/>
      <c r="H180" s="103" t="b">
        <v>1</v>
      </c>
      <c r="I180" s="109"/>
      <c r="J180" s="111"/>
    </row>
    <row r="181" ht="57.0" hidden="1" customHeight="1" outlineLevel="1">
      <c r="A181" s="66" t="s">
        <v>279</v>
      </c>
      <c r="B181" s="68" t="b">
        <v>0</v>
      </c>
      <c r="C181" s="68" t="b">
        <v>0</v>
      </c>
      <c r="D181" s="69" t="s">
        <v>49</v>
      </c>
      <c r="E181" s="69" t="s">
        <v>67</v>
      </c>
      <c r="F181" s="69" t="s">
        <v>196</v>
      </c>
      <c r="G181" s="70"/>
      <c r="H181" s="104" t="b">
        <v>1</v>
      </c>
      <c r="I181" s="109"/>
      <c r="J181" s="111"/>
    </row>
    <row r="182" ht="57.0" hidden="1" customHeight="1" outlineLevel="1">
      <c r="A182" s="60" t="s">
        <v>280</v>
      </c>
      <c r="B182" s="61" t="b">
        <v>0</v>
      </c>
      <c r="C182" s="61" t="b">
        <v>0</v>
      </c>
      <c r="D182" s="62" t="s">
        <v>49</v>
      </c>
      <c r="E182" s="62" t="s">
        <v>67</v>
      </c>
      <c r="F182" s="62" t="s">
        <v>196</v>
      </c>
      <c r="G182" s="63"/>
      <c r="H182" s="103" t="b">
        <v>1</v>
      </c>
      <c r="I182" s="109"/>
      <c r="J182" s="111"/>
    </row>
    <row r="183" ht="57.0" customHeight="1" collapsed="1">
      <c r="A183" s="60" t="s">
        <v>281</v>
      </c>
      <c r="B183" s="61" t="b">
        <v>0</v>
      </c>
      <c r="C183" s="61" t="b">
        <v>0</v>
      </c>
      <c r="D183" s="62" t="s">
        <v>49</v>
      </c>
      <c r="E183" s="62" t="s">
        <v>166</v>
      </c>
      <c r="F183" s="62" t="s">
        <v>53</v>
      </c>
      <c r="G183" s="63"/>
      <c r="H183" s="103" t="b">
        <v>0</v>
      </c>
      <c r="I183" s="109"/>
      <c r="J183" s="111"/>
    </row>
    <row r="184" ht="57.0" hidden="1" customHeight="1" outlineLevel="1">
      <c r="A184" s="60" t="s">
        <v>282</v>
      </c>
      <c r="B184" s="61" t="b">
        <v>0</v>
      </c>
      <c r="C184" s="61" t="b">
        <v>0</v>
      </c>
      <c r="D184" s="62" t="s">
        <v>49</v>
      </c>
      <c r="E184" s="62" t="s">
        <v>67</v>
      </c>
      <c r="F184" s="62" t="s">
        <v>53</v>
      </c>
      <c r="G184" s="63"/>
      <c r="H184" s="103" t="b">
        <v>1</v>
      </c>
      <c r="I184" s="109"/>
      <c r="J184" s="111"/>
    </row>
    <row r="185" ht="57.0" hidden="1" customHeight="1" outlineLevel="1">
      <c r="A185" s="66" t="s">
        <v>283</v>
      </c>
      <c r="B185" s="68" t="b">
        <v>0</v>
      </c>
      <c r="C185" s="68" t="b">
        <v>0</v>
      </c>
      <c r="D185" s="69" t="s">
        <v>49</v>
      </c>
      <c r="E185" s="69" t="s">
        <v>67</v>
      </c>
      <c r="F185" s="69" t="s">
        <v>53</v>
      </c>
      <c r="G185" s="70"/>
      <c r="H185" s="104" t="b">
        <v>1</v>
      </c>
      <c r="I185" s="109"/>
      <c r="J185" s="111"/>
    </row>
    <row r="186" ht="57.0" hidden="1" customHeight="1" outlineLevel="1">
      <c r="A186" s="60" t="s">
        <v>284</v>
      </c>
      <c r="B186" s="61" t="b">
        <v>0</v>
      </c>
      <c r="C186" s="61" t="b">
        <v>0</v>
      </c>
      <c r="D186" s="62" t="s">
        <v>49</v>
      </c>
      <c r="E186" s="62" t="s">
        <v>67</v>
      </c>
      <c r="F186" s="62" t="s">
        <v>53</v>
      </c>
      <c r="G186" s="63"/>
      <c r="H186" s="103" t="b">
        <v>1</v>
      </c>
      <c r="I186" s="109"/>
      <c r="J186" s="111"/>
    </row>
    <row r="187" ht="57.0" hidden="1" customHeight="1" outlineLevel="1">
      <c r="A187" s="66" t="s">
        <v>285</v>
      </c>
      <c r="B187" s="68" t="b">
        <v>0</v>
      </c>
      <c r="C187" s="68" t="b">
        <v>0</v>
      </c>
      <c r="D187" s="69" t="s">
        <v>49</v>
      </c>
      <c r="E187" s="69" t="s">
        <v>67</v>
      </c>
      <c r="F187" s="69" t="s">
        <v>53</v>
      </c>
      <c r="G187" s="70"/>
      <c r="H187" s="104" t="b">
        <v>1</v>
      </c>
      <c r="I187" s="109"/>
      <c r="J187" s="111"/>
    </row>
    <row r="188" ht="57.0" hidden="1" customHeight="1" outlineLevel="1">
      <c r="A188" s="60" t="s">
        <v>286</v>
      </c>
      <c r="B188" s="61" t="b">
        <v>0</v>
      </c>
      <c r="C188" s="61" t="b">
        <v>0</v>
      </c>
      <c r="D188" s="62" t="s">
        <v>49</v>
      </c>
      <c r="E188" s="62" t="s">
        <v>67</v>
      </c>
      <c r="F188" s="62" t="s">
        <v>53</v>
      </c>
      <c r="G188" s="63"/>
      <c r="H188" s="103" t="b">
        <v>1</v>
      </c>
      <c r="I188" s="109"/>
      <c r="J188" s="111"/>
    </row>
    <row r="189" ht="57.0" hidden="1" customHeight="1" outlineLevel="1">
      <c r="A189" s="66" t="s">
        <v>287</v>
      </c>
      <c r="B189" s="68" t="b">
        <v>0</v>
      </c>
      <c r="C189" s="68" t="b">
        <v>0</v>
      </c>
      <c r="D189" s="69" t="s">
        <v>49</v>
      </c>
      <c r="E189" s="69" t="s">
        <v>67</v>
      </c>
      <c r="F189" s="69" t="s">
        <v>53</v>
      </c>
      <c r="G189" s="70"/>
      <c r="H189" s="104" t="b">
        <v>1</v>
      </c>
      <c r="I189" s="109"/>
      <c r="J189" s="111"/>
    </row>
    <row r="190" ht="57.0" hidden="1" customHeight="1" outlineLevel="1">
      <c r="A190" s="60" t="s">
        <v>288</v>
      </c>
      <c r="B190" s="61" t="b">
        <v>0</v>
      </c>
      <c r="C190" s="61" t="b">
        <v>0</v>
      </c>
      <c r="D190" s="62" t="s">
        <v>49</v>
      </c>
      <c r="E190" s="62" t="s">
        <v>67</v>
      </c>
      <c r="F190" s="62" t="s">
        <v>53</v>
      </c>
      <c r="G190" s="63"/>
      <c r="H190" s="103" t="b">
        <v>1</v>
      </c>
      <c r="I190" s="109"/>
      <c r="J190" s="111"/>
    </row>
    <row r="191" ht="57.0" hidden="1" customHeight="1" outlineLevel="1">
      <c r="A191" s="66" t="s">
        <v>289</v>
      </c>
      <c r="B191" s="68" t="b">
        <v>0</v>
      </c>
      <c r="C191" s="68" t="b">
        <v>0</v>
      </c>
      <c r="D191" s="69" t="s">
        <v>49</v>
      </c>
      <c r="E191" s="69" t="s">
        <v>67</v>
      </c>
      <c r="F191" s="69" t="s">
        <v>53</v>
      </c>
      <c r="G191" s="70"/>
      <c r="H191" s="104" t="b">
        <v>1</v>
      </c>
      <c r="I191" s="109"/>
      <c r="J191" s="111"/>
    </row>
    <row r="192" ht="57.0" hidden="1" customHeight="1" outlineLevel="1">
      <c r="A192" s="60" t="s">
        <v>290</v>
      </c>
      <c r="B192" s="61" t="b">
        <v>0</v>
      </c>
      <c r="C192" s="61" t="b">
        <v>0</v>
      </c>
      <c r="D192" s="62" t="s">
        <v>49</v>
      </c>
      <c r="E192" s="62" t="s">
        <v>67</v>
      </c>
      <c r="F192" s="62" t="s">
        <v>53</v>
      </c>
      <c r="G192" s="63"/>
      <c r="H192" s="103" t="b">
        <v>1</v>
      </c>
      <c r="I192" s="109"/>
      <c r="J192" s="111"/>
    </row>
    <row r="193" ht="57.0" hidden="1" customHeight="1" outlineLevel="1">
      <c r="A193" s="66" t="s">
        <v>291</v>
      </c>
      <c r="B193" s="68" t="b">
        <v>0</v>
      </c>
      <c r="C193" s="68" t="b">
        <v>0</v>
      </c>
      <c r="D193" s="69" t="s">
        <v>49</v>
      </c>
      <c r="E193" s="69" t="s">
        <v>67</v>
      </c>
      <c r="F193" s="69" t="s">
        <v>53</v>
      </c>
      <c r="G193" s="70"/>
      <c r="H193" s="104" t="b">
        <v>1</v>
      </c>
      <c r="I193" s="109"/>
      <c r="J193" s="111"/>
    </row>
    <row r="194" ht="57.0" hidden="1" customHeight="1" outlineLevel="1">
      <c r="A194" s="60" t="s">
        <v>292</v>
      </c>
      <c r="B194" s="61" t="b">
        <v>0</v>
      </c>
      <c r="C194" s="61" t="b">
        <v>0</v>
      </c>
      <c r="D194" s="62" t="s">
        <v>49</v>
      </c>
      <c r="E194" s="62" t="s">
        <v>67</v>
      </c>
      <c r="F194" s="62" t="s">
        <v>53</v>
      </c>
      <c r="G194" s="63"/>
      <c r="H194" s="103" t="b">
        <v>1</v>
      </c>
      <c r="I194" s="109"/>
      <c r="J194" s="111"/>
    </row>
    <row r="195" ht="57.0" hidden="1" customHeight="1" outlineLevel="1">
      <c r="A195" s="66" t="s">
        <v>293</v>
      </c>
      <c r="B195" s="68" t="b">
        <v>0</v>
      </c>
      <c r="C195" s="68" t="b">
        <v>0</v>
      </c>
      <c r="D195" s="69" t="s">
        <v>49</v>
      </c>
      <c r="E195" s="69" t="s">
        <v>67</v>
      </c>
      <c r="F195" s="69" t="s">
        <v>53</v>
      </c>
      <c r="G195" s="70"/>
      <c r="H195" s="104" t="b">
        <v>1</v>
      </c>
      <c r="I195" s="109"/>
      <c r="J195" s="111"/>
    </row>
    <row r="196" ht="57.0" hidden="1" customHeight="1" outlineLevel="1">
      <c r="A196" s="60" t="s">
        <v>294</v>
      </c>
      <c r="B196" s="61" t="b">
        <v>0</v>
      </c>
      <c r="C196" s="61" t="b">
        <v>0</v>
      </c>
      <c r="D196" s="62" t="s">
        <v>49</v>
      </c>
      <c r="E196" s="62" t="s">
        <v>67</v>
      </c>
      <c r="F196" s="62" t="s">
        <v>53</v>
      </c>
      <c r="G196" s="63"/>
      <c r="H196" s="103" t="b">
        <v>1</v>
      </c>
      <c r="I196" s="109"/>
      <c r="J196" s="111"/>
    </row>
    <row r="197" ht="57.0" hidden="1" customHeight="1" outlineLevel="1">
      <c r="A197" s="66" t="s">
        <v>295</v>
      </c>
      <c r="B197" s="68" t="b">
        <v>0</v>
      </c>
      <c r="C197" s="68" t="b">
        <v>0</v>
      </c>
      <c r="D197" s="69" t="s">
        <v>49</v>
      </c>
      <c r="E197" s="69" t="s">
        <v>67</v>
      </c>
      <c r="F197" s="69" t="s">
        <v>53</v>
      </c>
      <c r="G197" s="70"/>
      <c r="H197" s="104" t="b">
        <v>1</v>
      </c>
      <c r="I197" s="109"/>
      <c r="J197" s="111"/>
    </row>
    <row r="198" ht="57.0" customHeight="1" collapsed="1">
      <c r="A198" s="74" t="s">
        <v>296</v>
      </c>
      <c r="B198" s="75" t="b">
        <v>0</v>
      </c>
      <c r="C198" s="75" t="b">
        <v>0</v>
      </c>
      <c r="D198" s="76" t="s">
        <v>49</v>
      </c>
      <c r="E198" s="76" t="s">
        <v>297</v>
      </c>
      <c r="F198" s="76" t="s">
        <v>196</v>
      </c>
      <c r="G198" s="77"/>
      <c r="H198" s="106" t="b">
        <v>0</v>
      </c>
      <c r="I198" s="109"/>
      <c r="J198" s="111"/>
    </row>
    <row r="199" ht="57.0" hidden="1" customHeight="1" outlineLevel="1">
      <c r="A199" s="60" t="s">
        <v>298</v>
      </c>
      <c r="B199" s="61" t="b">
        <v>0</v>
      </c>
      <c r="C199" s="61" t="b">
        <v>0</v>
      </c>
      <c r="D199" s="62" t="s">
        <v>49</v>
      </c>
      <c r="E199" s="62" t="s">
        <v>67</v>
      </c>
      <c r="F199" s="62" t="s">
        <v>196</v>
      </c>
      <c r="G199" s="63"/>
      <c r="H199" s="103" t="b">
        <v>1</v>
      </c>
      <c r="I199" s="109"/>
      <c r="J199" s="111"/>
    </row>
    <row r="200" ht="57.0" hidden="1" customHeight="1" outlineLevel="1">
      <c r="A200" s="66" t="s">
        <v>299</v>
      </c>
      <c r="B200" s="68" t="b">
        <v>0</v>
      </c>
      <c r="C200" s="68" t="b">
        <v>0</v>
      </c>
      <c r="D200" s="69" t="s">
        <v>49</v>
      </c>
      <c r="E200" s="69" t="s">
        <v>67</v>
      </c>
      <c r="F200" s="69" t="s">
        <v>196</v>
      </c>
      <c r="G200" s="70"/>
      <c r="H200" s="104" t="b">
        <v>1</v>
      </c>
      <c r="I200" s="109"/>
      <c r="J200" s="111"/>
    </row>
    <row r="201" ht="57.0" hidden="1" customHeight="1" outlineLevel="1">
      <c r="A201" s="60" t="s">
        <v>300</v>
      </c>
      <c r="B201" s="61" t="b">
        <v>0</v>
      </c>
      <c r="C201" s="61" t="b">
        <v>0</v>
      </c>
      <c r="D201" s="62" t="s">
        <v>49</v>
      </c>
      <c r="E201" s="62" t="s">
        <v>67</v>
      </c>
      <c r="F201" s="62" t="s">
        <v>196</v>
      </c>
      <c r="G201" s="63"/>
      <c r="H201" s="103" t="b">
        <v>1</v>
      </c>
      <c r="I201" s="109"/>
      <c r="J201" s="111"/>
    </row>
    <row r="202" ht="57.0" hidden="1" customHeight="1" outlineLevel="1">
      <c r="A202" s="66" t="s">
        <v>301</v>
      </c>
      <c r="B202" s="68" t="b">
        <v>0</v>
      </c>
      <c r="C202" s="68" t="b">
        <v>0</v>
      </c>
      <c r="D202" s="69" t="s">
        <v>49</v>
      </c>
      <c r="E202" s="69" t="s">
        <v>67</v>
      </c>
      <c r="F202" s="69" t="s">
        <v>196</v>
      </c>
      <c r="G202" s="70"/>
      <c r="H202" s="104" t="b">
        <v>1</v>
      </c>
      <c r="I202" s="109"/>
      <c r="J202" s="111"/>
    </row>
    <row r="203" ht="57.0" hidden="1" customHeight="1" outlineLevel="1">
      <c r="A203" s="60" t="s">
        <v>302</v>
      </c>
      <c r="B203" s="61" t="b">
        <v>0</v>
      </c>
      <c r="C203" s="61" t="b">
        <v>0</v>
      </c>
      <c r="D203" s="62" t="s">
        <v>49</v>
      </c>
      <c r="E203" s="62" t="s">
        <v>67</v>
      </c>
      <c r="F203" s="62" t="s">
        <v>196</v>
      </c>
      <c r="G203" s="63"/>
      <c r="H203" s="103" t="b">
        <v>1</v>
      </c>
      <c r="I203" s="109"/>
      <c r="J203" s="111"/>
    </row>
    <row r="204" ht="57.0" hidden="1" customHeight="1" outlineLevel="1">
      <c r="A204" s="66" t="s">
        <v>303</v>
      </c>
      <c r="B204" s="68" t="b">
        <v>0</v>
      </c>
      <c r="C204" s="68" t="b">
        <v>0</v>
      </c>
      <c r="D204" s="69" t="s">
        <v>49</v>
      </c>
      <c r="E204" s="69" t="s">
        <v>67</v>
      </c>
      <c r="F204" s="69" t="s">
        <v>196</v>
      </c>
      <c r="G204" s="70"/>
      <c r="H204" s="104" t="b">
        <v>1</v>
      </c>
      <c r="I204" s="109"/>
      <c r="J204" s="111"/>
    </row>
    <row r="205" ht="57.0" hidden="1" customHeight="1" outlineLevel="1">
      <c r="A205" s="60" t="s">
        <v>304</v>
      </c>
      <c r="B205" s="61" t="b">
        <v>0</v>
      </c>
      <c r="C205" s="61" t="b">
        <v>0</v>
      </c>
      <c r="D205" s="62" t="s">
        <v>49</v>
      </c>
      <c r="E205" s="62" t="s">
        <v>67</v>
      </c>
      <c r="F205" s="62" t="s">
        <v>196</v>
      </c>
      <c r="G205" s="63"/>
      <c r="H205" s="103" t="b">
        <v>1</v>
      </c>
      <c r="I205" s="109"/>
      <c r="J205" s="111"/>
    </row>
    <row r="206" ht="57.0" hidden="1" customHeight="1" outlineLevel="1">
      <c r="A206" s="66" t="s">
        <v>305</v>
      </c>
      <c r="B206" s="68" t="b">
        <v>0</v>
      </c>
      <c r="C206" s="68" t="b">
        <v>0</v>
      </c>
      <c r="D206" s="69" t="s">
        <v>49</v>
      </c>
      <c r="E206" s="69" t="s">
        <v>67</v>
      </c>
      <c r="F206" s="69" t="s">
        <v>196</v>
      </c>
      <c r="G206" s="70"/>
      <c r="H206" s="104" t="b">
        <v>1</v>
      </c>
      <c r="I206" s="109"/>
      <c r="J206" s="111"/>
    </row>
    <row r="207" ht="57.0" customHeight="1" collapsed="1">
      <c r="A207" s="60" t="s">
        <v>306</v>
      </c>
      <c r="B207" s="61" t="b">
        <v>0</v>
      </c>
      <c r="C207" s="61" t="b">
        <v>0</v>
      </c>
      <c r="D207" s="62" t="s">
        <v>49</v>
      </c>
      <c r="E207" s="62" t="s">
        <v>307</v>
      </c>
      <c r="F207" s="62" t="s">
        <v>53</v>
      </c>
      <c r="G207" s="63"/>
      <c r="H207" s="103" t="b">
        <v>0</v>
      </c>
      <c r="I207" s="109"/>
      <c r="J207" s="111"/>
    </row>
    <row r="208" ht="57.0" hidden="1" customHeight="1" outlineLevel="1">
      <c r="A208" s="60" t="s">
        <v>308</v>
      </c>
      <c r="B208" s="61" t="b">
        <v>0</v>
      </c>
      <c r="C208" s="61" t="b">
        <v>0</v>
      </c>
      <c r="D208" s="62" t="s">
        <v>49</v>
      </c>
      <c r="E208" s="62" t="s">
        <v>67</v>
      </c>
      <c r="F208" s="62" t="s">
        <v>53</v>
      </c>
      <c r="G208" s="63"/>
      <c r="H208" s="103" t="b">
        <v>1</v>
      </c>
      <c r="I208" s="109"/>
      <c r="J208" s="111"/>
    </row>
    <row r="209" ht="57.0" hidden="1" customHeight="1" outlineLevel="1">
      <c r="A209" s="66" t="s">
        <v>309</v>
      </c>
      <c r="B209" s="68" t="b">
        <v>0</v>
      </c>
      <c r="C209" s="68" t="b">
        <v>0</v>
      </c>
      <c r="D209" s="69" t="s">
        <v>49</v>
      </c>
      <c r="E209" s="69" t="s">
        <v>67</v>
      </c>
      <c r="F209" s="69" t="s">
        <v>53</v>
      </c>
      <c r="G209" s="70"/>
      <c r="H209" s="104" t="b">
        <v>1</v>
      </c>
      <c r="I209" s="109"/>
      <c r="J209" s="111"/>
    </row>
    <row r="210" ht="57.0" hidden="1" customHeight="1" outlineLevel="1">
      <c r="A210" s="60" t="s">
        <v>310</v>
      </c>
      <c r="B210" s="61" t="b">
        <v>0</v>
      </c>
      <c r="C210" s="61" t="b">
        <v>0</v>
      </c>
      <c r="D210" s="62" t="s">
        <v>49</v>
      </c>
      <c r="E210" s="62" t="s">
        <v>67</v>
      </c>
      <c r="F210" s="62" t="s">
        <v>53</v>
      </c>
      <c r="G210" s="63"/>
      <c r="H210" s="103" t="b">
        <v>1</v>
      </c>
      <c r="I210" s="109"/>
      <c r="J210" s="111"/>
    </row>
    <row r="211" ht="57.0" hidden="1" customHeight="1" outlineLevel="1">
      <c r="A211" s="66" t="s">
        <v>311</v>
      </c>
      <c r="B211" s="68" t="b">
        <v>0</v>
      </c>
      <c r="C211" s="68" t="b">
        <v>0</v>
      </c>
      <c r="D211" s="69" t="s">
        <v>49</v>
      </c>
      <c r="E211" s="69" t="s">
        <v>67</v>
      </c>
      <c r="F211" s="69" t="s">
        <v>53</v>
      </c>
      <c r="G211" s="70"/>
      <c r="H211" s="104" t="b">
        <v>1</v>
      </c>
      <c r="I211" s="109"/>
      <c r="J211" s="111"/>
    </row>
    <row r="212" ht="57.0" hidden="1" customHeight="1" outlineLevel="1">
      <c r="A212" s="60" t="s">
        <v>312</v>
      </c>
      <c r="B212" s="61" t="b">
        <v>0</v>
      </c>
      <c r="C212" s="61" t="b">
        <v>0</v>
      </c>
      <c r="D212" s="62" t="s">
        <v>49</v>
      </c>
      <c r="E212" s="62" t="s">
        <v>67</v>
      </c>
      <c r="F212" s="62" t="s">
        <v>53</v>
      </c>
      <c r="G212" s="63"/>
      <c r="H212" s="103" t="b">
        <v>1</v>
      </c>
      <c r="I212" s="109"/>
      <c r="J212" s="111"/>
    </row>
    <row r="213" ht="57.0" hidden="1" customHeight="1" outlineLevel="1">
      <c r="A213" s="66" t="s">
        <v>313</v>
      </c>
      <c r="B213" s="68" t="b">
        <v>0</v>
      </c>
      <c r="C213" s="68" t="b">
        <v>0</v>
      </c>
      <c r="D213" s="69" t="s">
        <v>49</v>
      </c>
      <c r="E213" s="69" t="s">
        <v>67</v>
      </c>
      <c r="F213" s="69" t="s">
        <v>53</v>
      </c>
      <c r="G213" s="70"/>
      <c r="H213" s="104" t="b">
        <v>1</v>
      </c>
      <c r="I213" s="109"/>
      <c r="J213" s="111"/>
    </row>
    <row r="214" ht="57.0" hidden="1" customHeight="1" outlineLevel="1">
      <c r="A214" s="60" t="s">
        <v>314</v>
      </c>
      <c r="B214" s="61" t="b">
        <v>0</v>
      </c>
      <c r="C214" s="61" t="b">
        <v>0</v>
      </c>
      <c r="D214" s="62" t="s">
        <v>49</v>
      </c>
      <c r="E214" s="62" t="s">
        <v>67</v>
      </c>
      <c r="F214" s="62" t="s">
        <v>53</v>
      </c>
      <c r="G214" s="63"/>
      <c r="H214" s="103" t="b">
        <v>1</v>
      </c>
      <c r="I214" s="109"/>
      <c r="J214" s="111"/>
    </row>
    <row r="215" ht="57.0" hidden="1" customHeight="1" outlineLevel="1">
      <c r="A215" s="66" t="s">
        <v>315</v>
      </c>
      <c r="B215" s="68" t="b">
        <v>0</v>
      </c>
      <c r="C215" s="68" t="b">
        <v>0</v>
      </c>
      <c r="D215" s="69" t="s">
        <v>49</v>
      </c>
      <c r="E215" s="69" t="s">
        <v>67</v>
      </c>
      <c r="F215" s="69" t="s">
        <v>53</v>
      </c>
      <c r="G215" s="70"/>
      <c r="H215" s="104" t="b">
        <v>1</v>
      </c>
      <c r="I215" s="109"/>
      <c r="J215" s="111"/>
    </row>
    <row r="216" ht="57.0" hidden="1" customHeight="1" outlineLevel="1">
      <c r="A216" s="60" t="s">
        <v>316</v>
      </c>
      <c r="B216" s="61" t="b">
        <v>0</v>
      </c>
      <c r="C216" s="61" t="b">
        <v>0</v>
      </c>
      <c r="D216" s="62" t="s">
        <v>49</v>
      </c>
      <c r="E216" s="62" t="s">
        <v>67</v>
      </c>
      <c r="F216" s="62" t="s">
        <v>53</v>
      </c>
      <c r="G216" s="63"/>
      <c r="H216" s="103" t="b">
        <v>1</v>
      </c>
      <c r="I216" s="109"/>
      <c r="J216" s="111"/>
    </row>
    <row r="217" ht="57.0" hidden="1" customHeight="1" outlineLevel="1">
      <c r="A217" s="66" t="s">
        <v>317</v>
      </c>
      <c r="B217" s="68" t="b">
        <v>0</v>
      </c>
      <c r="C217" s="68" t="b">
        <v>0</v>
      </c>
      <c r="D217" s="69" t="s">
        <v>49</v>
      </c>
      <c r="E217" s="69" t="s">
        <v>67</v>
      </c>
      <c r="F217" s="69" t="s">
        <v>53</v>
      </c>
      <c r="G217" s="70"/>
      <c r="H217" s="104" t="b">
        <v>1</v>
      </c>
      <c r="I217" s="109"/>
      <c r="J217" s="111"/>
    </row>
    <row r="218" ht="57.0" hidden="1" customHeight="1" outlineLevel="1">
      <c r="A218" s="60" t="s">
        <v>318</v>
      </c>
      <c r="B218" s="61" t="b">
        <v>0</v>
      </c>
      <c r="C218" s="61" t="b">
        <v>0</v>
      </c>
      <c r="D218" s="62" t="s">
        <v>49</v>
      </c>
      <c r="E218" s="62" t="s">
        <v>67</v>
      </c>
      <c r="F218" s="62" t="s">
        <v>53</v>
      </c>
      <c r="G218" s="63"/>
      <c r="H218" s="103" t="b">
        <v>1</v>
      </c>
      <c r="I218" s="109"/>
      <c r="J218" s="111"/>
    </row>
    <row r="219" ht="57.0" customHeight="1" collapsed="1">
      <c r="A219" s="74" t="s">
        <v>319</v>
      </c>
      <c r="B219" s="75" t="b">
        <v>0</v>
      </c>
      <c r="C219" s="75" t="b">
        <v>0</v>
      </c>
      <c r="D219" s="76" t="s">
        <v>49</v>
      </c>
      <c r="E219" s="76" t="s">
        <v>52</v>
      </c>
      <c r="F219" s="76" t="s">
        <v>320</v>
      </c>
      <c r="G219" s="77" t="s">
        <v>321</v>
      </c>
      <c r="H219" s="106" t="b">
        <v>0</v>
      </c>
      <c r="I219" s="109"/>
      <c r="J219" s="111"/>
    </row>
    <row r="220" ht="57.0" hidden="1" customHeight="1" outlineLevel="1">
      <c r="A220" s="60" t="s">
        <v>322</v>
      </c>
      <c r="B220" s="61" t="b">
        <v>0</v>
      </c>
      <c r="C220" s="61" t="b">
        <v>0</v>
      </c>
      <c r="D220" s="62" t="s">
        <v>49</v>
      </c>
      <c r="E220" s="62" t="s">
        <v>67</v>
      </c>
      <c r="F220" s="62" t="s">
        <v>320</v>
      </c>
      <c r="G220" s="63"/>
      <c r="H220" s="103" t="b">
        <v>1</v>
      </c>
      <c r="I220" s="109"/>
      <c r="J220" s="111"/>
    </row>
    <row r="221" ht="57.0" hidden="1" customHeight="1" outlineLevel="1">
      <c r="A221" s="66" t="s">
        <v>323</v>
      </c>
      <c r="B221" s="68" t="b">
        <v>0</v>
      </c>
      <c r="C221" s="68" t="b">
        <v>0</v>
      </c>
      <c r="D221" s="69" t="s">
        <v>49</v>
      </c>
      <c r="E221" s="69" t="s">
        <v>67</v>
      </c>
      <c r="F221" s="69" t="s">
        <v>320</v>
      </c>
      <c r="G221" s="70"/>
      <c r="H221" s="104" t="b">
        <v>1</v>
      </c>
      <c r="I221" s="109"/>
      <c r="J221" s="111"/>
    </row>
    <row r="222" ht="57.0" hidden="1" customHeight="1" outlineLevel="1">
      <c r="A222" s="60" t="s">
        <v>324</v>
      </c>
      <c r="B222" s="61" t="b">
        <v>0</v>
      </c>
      <c r="C222" s="61" t="b">
        <v>0</v>
      </c>
      <c r="D222" s="62" t="s">
        <v>49</v>
      </c>
      <c r="E222" s="62" t="s">
        <v>67</v>
      </c>
      <c r="F222" s="62" t="s">
        <v>320</v>
      </c>
      <c r="G222" s="63"/>
      <c r="H222" s="103" t="b">
        <v>1</v>
      </c>
      <c r="I222" s="109"/>
      <c r="J222" s="111"/>
    </row>
    <row r="223" ht="57.0" hidden="1" customHeight="1" outlineLevel="1">
      <c r="A223" s="66" t="s">
        <v>325</v>
      </c>
      <c r="B223" s="68" t="b">
        <v>0</v>
      </c>
      <c r="C223" s="68" t="b">
        <v>0</v>
      </c>
      <c r="D223" s="69" t="s">
        <v>49</v>
      </c>
      <c r="E223" s="69" t="s">
        <v>67</v>
      </c>
      <c r="F223" s="69" t="s">
        <v>320</v>
      </c>
      <c r="G223" s="70"/>
      <c r="H223" s="104" t="b">
        <v>1</v>
      </c>
      <c r="I223" s="109"/>
      <c r="J223" s="111"/>
    </row>
    <row r="224" ht="57.0" hidden="1" customHeight="1" outlineLevel="1">
      <c r="A224" s="60" t="s">
        <v>326</v>
      </c>
      <c r="B224" s="61" t="b">
        <v>0</v>
      </c>
      <c r="C224" s="61" t="b">
        <v>0</v>
      </c>
      <c r="D224" s="62" t="s">
        <v>49</v>
      </c>
      <c r="E224" s="62" t="s">
        <v>67</v>
      </c>
      <c r="F224" s="62" t="s">
        <v>320</v>
      </c>
      <c r="G224" s="63"/>
      <c r="H224" s="103" t="b">
        <v>1</v>
      </c>
      <c r="I224" s="109"/>
      <c r="J224" s="111"/>
    </row>
    <row r="225" ht="57.0" hidden="1" customHeight="1" outlineLevel="1">
      <c r="A225" s="66" t="s">
        <v>327</v>
      </c>
      <c r="B225" s="68" t="b">
        <v>0</v>
      </c>
      <c r="C225" s="68" t="b">
        <v>0</v>
      </c>
      <c r="D225" s="69" t="s">
        <v>49</v>
      </c>
      <c r="E225" s="69" t="s">
        <v>67</v>
      </c>
      <c r="F225" s="69" t="s">
        <v>320</v>
      </c>
      <c r="G225" s="70"/>
      <c r="H225" s="104" t="b">
        <v>1</v>
      </c>
      <c r="I225" s="109"/>
      <c r="J225" s="111"/>
    </row>
    <row r="226" ht="57.0" hidden="1" customHeight="1" outlineLevel="1">
      <c r="A226" s="60" t="s">
        <v>328</v>
      </c>
      <c r="B226" s="61" t="b">
        <v>0</v>
      </c>
      <c r="C226" s="61" t="b">
        <v>0</v>
      </c>
      <c r="D226" s="62" t="s">
        <v>49</v>
      </c>
      <c r="E226" s="62" t="s">
        <v>67</v>
      </c>
      <c r="F226" s="62" t="s">
        <v>320</v>
      </c>
      <c r="G226" s="63"/>
      <c r="H226" s="103" t="b">
        <v>1</v>
      </c>
      <c r="I226" s="109"/>
      <c r="J226" s="111"/>
    </row>
    <row r="227" ht="57.0" hidden="1" customHeight="1" outlineLevel="1">
      <c r="A227" s="66" t="s">
        <v>329</v>
      </c>
      <c r="B227" s="68" t="b">
        <v>0</v>
      </c>
      <c r="C227" s="68" t="b">
        <v>0</v>
      </c>
      <c r="D227" s="69" t="s">
        <v>49</v>
      </c>
      <c r="E227" s="69" t="s">
        <v>67</v>
      </c>
      <c r="F227" s="69" t="s">
        <v>320</v>
      </c>
      <c r="G227" s="70"/>
      <c r="H227" s="104" t="b">
        <v>1</v>
      </c>
      <c r="I227" s="109"/>
      <c r="J227" s="111"/>
    </row>
    <row r="228" ht="57.0" hidden="1" customHeight="1" outlineLevel="1">
      <c r="A228" s="60" t="s">
        <v>330</v>
      </c>
      <c r="B228" s="61" t="b">
        <v>0</v>
      </c>
      <c r="C228" s="61" t="b">
        <v>0</v>
      </c>
      <c r="D228" s="62" t="s">
        <v>49</v>
      </c>
      <c r="E228" s="62" t="s">
        <v>67</v>
      </c>
      <c r="F228" s="62" t="s">
        <v>320</v>
      </c>
      <c r="G228" s="63"/>
      <c r="H228" s="103" t="b">
        <v>1</v>
      </c>
      <c r="I228" s="109"/>
      <c r="J228" s="111"/>
    </row>
    <row r="229" ht="57.0" hidden="1" customHeight="1" outlineLevel="1">
      <c r="A229" s="66" t="s">
        <v>331</v>
      </c>
      <c r="B229" s="68" t="b">
        <v>0</v>
      </c>
      <c r="C229" s="68" t="b">
        <v>0</v>
      </c>
      <c r="D229" s="69" t="s">
        <v>49</v>
      </c>
      <c r="E229" s="69" t="s">
        <v>67</v>
      </c>
      <c r="F229" s="69" t="s">
        <v>320</v>
      </c>
      <c r="G229" s="70"/>
      <c r="H229" s="104" t="b">
        <v>1</v>
      </c>
      <c r="I229" s="109"/>
      <c r="J229" s="111"/>
    </row>
    <row r="230" ht="57.0" hidden="1" customHeight="1" outlineLevel="1">
      <c r="A230" s="60" t="s">
        <v>332</v>
      </c>
      <c r="B230" s="61" t="b">
        <v>0</v>
      </c>
      <c r="C230" s="61" t="b">
        <v>0</v>
      </c>
      <c r="D230" s="62" t="s">
        <v>49</v>
      </c>
      <c r="E230" s="62" t="s">
        <v>67</v>
      </c>
      <c r="F230" s="62" t="s">
        <v>320</v>
      </c>
      <c r="G230" s="63"/>
      <c r="H230" s="103" t="b">
        <v>1</v>
      </c>
      <c r="I230" s="109"/>
      <c r="J230" s="111"/>
    </row>
    <row r="231" ht="57.0" hidden="1" customHeight="1" outlineLevel="1">
      <c r="A231" s="66" t="s">
        <v>333</v>
      </c>
      <c r="B231" s="68" t="b">
        <v>0</v>
      </c>
      <c r="C231" s="68" t="b">
        <v>0</v>
      </c>
      <c r="D231" s="69" t="s">
        <v>49</v>
      </c>
      <c r="E231" s="69" t="s">
        <v>67</v>
      </c>
      <c r="F231" s="69" t="s">
        <v>320</v>
      </c>
      <c r="G231" s="70"/>
      <c r="H231" s="104" t="b">
        <v>1</v>
      </c>
      <c r="I231" s="109"/>
      <c r="J231" s="111"/>
    </row>
    <row r="232" ht="57.0" hidden="1" customHeight="1" outlineLevel="1">
      <c r="A232" s="60" t="s">
        <v>334</v>
      </c>
      <c r="B232" s="61" t="b">
        <v>0</v>
      </c>
      <c r="C232" s="61" t="b">
        <v>0</v>
      </c>
      <c r="D232" s="62" t="s">
        <v>49</v>
      </c>
      <c r="E232" s="62" t="s">
        <v>67</v>
      </c>
      <c r="F232" s="62" t="s">
        <v>320</v>
      </c>
      <c r="G232" s="63"/>
      <c r="H232" s="103" t="b">
        <v>1</v>
      </c>
      <c r="I232" s="109"/>
      <c r="J232" s="111"/>
    </row>
    <row r="233" ht="57.0" customHeight="1" collapsed="1">
      <c r="A233" s="60" t="s">
        <v>335</v>
      </c>
      <c r="B233" s="61" t="b">
        <v>0</v>
      </c>
      <c r="C233" s="61" t="b">
        <v>0</v>
      </c>
      <c r="D233" s="62" t="s">
        <v>49</v>
      </c>
      <c r="E233" s="62" t="s">
        <v>52</v>
      </c>
      <c r="F233" s="62" t="s">
        <v>53</v>
      </c>
      <c r="G233" s="63"/>
      <c r="H233" s="103" t="b">
        <v>0</v>
      </c>
      <c r="I233" s="109"/>
      <c r="J233" s="111"/>
    </row>
    <row r="234" ht="57.0" hidden="1" customHeight="1" outlineLevel="1">
      <c r="A234" s="60" t="s">
        <v>336</v>
      </c>
      <c r="B234" s="61" t="b">
        <v>0</v>
      </c>
      <c r="C234" s="61" t="b">
        <v>0</v>
      </c>
      <c r="D234" s="62" t="s">
        <v>49</v>
      </c>
      <c r="E234" s="62" t="s">
        <v>67</v>
      </c>
      <c r="F234" s="62" t="s">
        <v>53</v>
      </c>
      <c r="G234" s="63"/>
      <c r="H234" s="103" t="b">
        <v>1</v>
      </c>
      <c r="I234" s="109"/>
      <c r="J234" s="111"/>
    </row>
    <row r="235" ht="57.0" hidden="1" customHeight="1" outlineLevel="1">
      <c r="A235" s="66" t="s">
        <v>337</v>
      </c>
      <c r="B235" s="68" t="b">
        <v>0</v>
      </c>
      <c r="C235" s="68" t="b">
        <v>0</v>
      </c>
      <c r="D235" s="69" t="s">
        <v>49</v>
      </c>
      <c r="E235" s="69" t="s">
        <v>67</v>
      </c>
      <c r="F235" s="69" t="s">
        <v>53</v>
      </c>
      <c r="G235" s="70"/>
      <c r="H235" s="104" t="b">
        <v>1</v>
      </c>
      <c r="I235" s="109"/>
      <c r="J235" s="111"/>
    </row>
    <row r="236" ht="57.0" hidden="1" customHeight="1" outlineLevel="1">
      <c r="A236" s="60" t="s">
        <v>338</v>
      </c>
      <c r="B236" s="61" t="b">
        <v>0</v>
      </c>
      <c r="C236" s="61" t="b">
        <v>0</v>
      </c>
      <c r="D236" s="62" t="s">
        <v>49</v>
      </c>
      <c r="E236" s="62" t="s">
        <v>67</v>
      </c>
      <c r="F236" s="62" t="s">
        <v>53</v>
      </c>
      <c r="G236" s="63"/>
      <c r="H236" s="103" t="b">
        <v>1</v>
      </c>
      <c r="I236" s="109"/>
      <c r="J236" s="111"/>
    </row>
    <row r="237" ht="57.0" hidden="1" customHeight="1" outlineLevel="1">
      <c r="A237" s="66" t="s">
        <v>339</v>
      </c>
      <c r="B237" s="68" t="b">
        <v>0</v>
      </c>
      <c r="C237" s="68" t="b">
        <v>0</v>
      </c>
      <c r="D237" s="69" t="s">
        <v>49</v>
      </c>
      <c r="E237" s="69" t="s">
        <v>67</v>
      </c>
      <c r="F237" s="69" t="s">
        <v>53</v>
      </c>
      <c r="G237" s="70"/>
      <c r="H237" s="104" t="b">
        <v>1</v>
      </c>
      <c r="I237" s="109"/>
      <c r="J237" s="111"/>
    </row>
    <row r="238" ht="57.0" hidden="1" customHeight="1" outlineLevel="1">
      <c r="A238" s="60" t="s">
        <v>340</v>
      </c>
      <c r="B238" s="61" t="b">
        <v>0</v>
      </c>
      <c r="C238" s="61" t="b">
        <v>0</v>
      </c>
      <c r="D238" s="62" t="s">
        <v>49</v>
      </c>
      <c r="E238" s="62" t="s">
        <v>67</v>
      </c>
      <c r="F238" s="62" t="s">
        <v>53</v>
      </c>
      <c r="G238" s="63"/>
      <c r="H238" s="103" t="b">
        <v>1</v>
      </c>
      <c r="I238" s="109"/>
      <c r="J238" s="111"/>
    </row>
    <row r="239" ht="57.0" hidden="1" customHeight="1" outlineLevel="1">
      <c r="A239" s="66" t="s">
        <v>341</v>
      </c>
      <c r="B239" s="68" t="b">
        <v>0</v>
      </c>
      <c r="C239" s="68" t="b">
        <v>0</v>
      </c>
      <c r="D239" s="69" t="s">
        <v>49</v>
      </c>
      <c r="E239" s="69" t="s">
        <v>67</v>
      </c>
      <c r="F239" s="69" t="s">
        <v>53</v>
      </c>
      <c r="G239" s="70"/>
      <c r="H239" s="104" t="b">
        <v>1</v>
      </c>
      <c r="I239" s="109"/>
      <c r="J239" s="111"/>
    </row>
    <row r="240" ht="57.0" hidden="1" customHeight="1" outlineLevel="1">
      <c r="A240" s="60" t="s">
        <v>342</v>
      </c>
      <c r="B240" s="61" t="b">
        <v>0</v>
      </c>
      <c r="C240" s="61" t="b">
        <v>0</v>
      </c>
      <c r="D240" s="62" t="s">
        <v>49</v>
      </c>
      <c r="E240" s="62" t="s">
        <v>67</v>
      </c>
      <c r="F240" s="62" t="s">
        <v>53</v>
      </c>
      <c r="G240" s="63"/>
      <c r="H240" s="103" t="b">
        <v>1</v>
      </c>
      <c r="I240" s="109"/>
      <c r="J240" s="111"/>
    </row>
    <row r="241" ht="57.0" hidden="1" customHeight="1" outlineLevel="1">
      <c r="A241" s="66" t="s">
        <v>343</v>
      </c>
      <c r="B241" s="68" t="b">
        <v>0</v>
      </c>
      <c r="C241" s="68" t="b">
        <v>0</v>
      </c>
      <c r="D241" s="69" t="s">
        <v>49</v>
      </c>
      <c r="E241" s="69" t="s">
        <v>67</v>
      </c>
      <c r="F241" s="69" t="s">
        <v>53</v>
      </c>
      <c r="G241" s="70"/>
      <c r="H241" s="104" t="b">
        <v>1</v>
      </c>
      <c r="I241" s="109"/>
      <c r="J241" s="111"/>
    </row>
    <row r="242" ht="57.0" hidden="1" customHeight="1" outlineLevel="1">
      <c r="A242" s="60" t="s">
        <v>344</v>
      </c>
      <c r="B242" s="61" t="b">
        <v>0</v>
      </c>
      <c r="C242" s="61" t="b">
        <v>0</v>
      </c>
      <c r="D242" s="62" t="s">
        <v>49</v>
      </c>
      <c r="E242" s="62" t="s">
        <v>67</v>
      </c>
      <c r="F242" s="62" t="s">
        <v>53</v>
      </c>
      <c r="G242" s="63"/>
      <c r="H242" s="103" t="b">
        <v>1</v>
      </c>
      <c r="I242" s="109"/>
      <c r="J242" s="111"/>
    </row>
    <row r="243" ht="57.0" hidden="1" customHeight="1" outlineLevel="1">
      <c r="A243" s="66" t="s">
        <v>345</v>
      </c>
      <c r="B243" s="68" t="b">
        <v>0</v>
      </c>
      <c r="C243" s="68" t="b">
        <v>0</v>
      </c>
      <c r="D243" s="69" t="s">
        <v>49</v>
      </c>
      <c r="E243" s="69" t="s">
        <v>67</v>
      </c>
      <c r="F243" s="69" t="s">
        <v>53</v>
      </c>
      <c r="G243" s="70"/>
      <c r="H243" s="104" t="b">
        <v>1</v>
      </c>
      <c r="I243" s="109"/>
      <c r="J243" s="111"/>
    </row>
    <row r="244" ht="57.0" hidden="1" customHeight="1" outlineLevel="1">
      <c r="A244" s="60" t="s">
        <v>346</v>
      </c>
      <c r="B244" s="61" t="b">
        <v>0</v>
      </c>
      <c r="C244" s="61" t="b">
        <v>0</v>
      </c>
      <c r="D244" s="62" t="s">
        <v>49</v>
      </c>
      <c r="E244" s="62" t="s">
        <v>67</v>
      </c>
      <c r="F244" s="62" t="s">
        <v>53</v>
      </c>
      <c r="G244" s="63"/>
      <c r="H244" s="103" t="b">
        <v>1</v>
      </c>
      <c r="I244" s="109"/>
      <c r="J244" s="111"/>
    </row>
    <row r="245" ht="57.0" hidden="1" customHeight="1" outlineLevel="1">
      <c r="A245" s="66" t="s">
        <v>347</v>
      </c>
      <c r="B245" s="68" t="b">
        <v>0</v>
      </c>
      <c r="C245" s="68" t="b">
        <v>0</v>
      </c>
      <c r="D245" s="69" t="s">
        <v>49</v>
      </c>
      <c r="E245" s="69" t="s">
        <v>67</v>
      </c>
      <c r="F245" s="69" t="s">
        <v>53</v>
      </c>
      <c r="G245" s="70"/>
      <c r="H245" s="104" t="b">
        <v>1</v>
      </c>
      <c r="I245" s="109"/>
      <c r="J245" s="111"/>
    </row>
    <row r="246" ht="57.0" hidden="1" customHeight="1" outlineLevel="1">
      <c r="A246" s="60" t="s">
        <v>348</v>
      </c>
      <c r="B246" s="61" t="b">
        <v>0</v>
      </c>
      <c r="C246" s="61" t="b">
        <v>0</v>
      </c>
      <c r="D246" s="62" t="s">
        <v>49</v>
      </c>
      <c r="E246" s="62" t="s">
        <v>67</v>
      </c>
      <c r="F246" s="62" t="s">
        <v>53</v>
      </c>
      <c r="G246" s="63"/>
      <c r="H246" s="103" t="b">
        <v>1</v>
      </c>
      <c r="I246" s="109"/>
      <c r="J246" s="111"/>
    </row>
    <row r="247" ht="57.0" customHeight="1" collapsed="1">
      <c r="A247" s="74" t="s">
        <v>349</v>
      </c>
      <c r="B247" s="75" t="b">
        <v>0</v>
      </c>
      <c r="C247" s="75" t="b">
        <v>0</v>
      </c>
      <c r="D247" s="76" t="s">
        <v>49</v>
      </c>
      <c r="E247" s="76" t="s">
        <v>52</v>
      </c>
      <c r="F247" s="76" t="s">
        <v>350</v>
      </c>
      <c r="G247" s="77" t="s">
        <v>351</v>
      </c>
      <c r="H247" s="106" t="b">
        <v>0</v>
      </c>
      <c r="I247" s="109"/>
      <c r="J247" s="111"/>
    </row>
    <row r="248" ht="57.0" hidden="1" customHeight="1" outlineLevel="1">
      <c r="A248" s="60" t="s">
        <v>352</v>
      </c>
      <c r="B248" s="61" t="b">
        <v>0</v>
      </c>
      <c r="C248" s="61" t="b">
        <v>0</v>
      </c>
      <c r="D248" s="62" t="s">
        <v>49</v>
      </c>
      <c r="E248" s="62" t="s">
        <v>67</v>
      </c>
      <c r="F248" s="62" t="s">
        <v>350</v>
      </c>
      <c r="G248" s="63"/>
      <c r="H248" s="103" t="b">
        <v>1</v>
      </c>
      <c r="I248" s="109"/>
      <c r="J248" s="111"/>
    </row>
    <row r="249" ht="57.0" hidden="1" customHeight="1" outlineLevel="1">
      <c r="A249" s="66" t="s">
        <v>353</v>
      </c>
      <c r="B249" s="68" t="b">
        <v>0</v>
      </c>
      <c r="C249" s="68" t="b">
        <v>0</v>
      </c>
      <c r="D249" s="69" t="s">
        <v>49</v>
      </c>
      <c r="E249" s="69" t="s">
        <v>67</v>
      </c>
      <c r="F249" s="69" t="s">
        <v>350</v>
      </c>
      <c r="G249" s="70"/>
      <c r="H249" s="104" t="b">
        <v>1</v>
      </c>
      <c r="I249" s="109"/>
      <c r="J249" s="111"/>
    </row>
    <row r="250" ht="57.0" hidden="1" customHeight="1" outlineLevel="1">
      <c r="A250" s="60" t="s">
        <v>354</v>
      </c>
      <c r="B250" s="61" t="b">
        <v>0</v>
      </c>
      <c r="C250" s="61" t="b">
        <v>0</v>
      </c>
      <c r="D250" s="62" t="s">
        <v>49</v>
      </c>
      <c r="E250" s="62" t="s">
        <v>67</v>
      </c>
      <c r="F250" s="62" t="s">
        <v>350</v>
      </c>
      <c r="G250" s="63"/>
      <c r="H250" s="103" t="b">
        <v>1</v>
      </c>
      <c r="I250" s="109"/>
      <c r="J250" s="111"/>
    </row>
    <row r="251" ht="57.0" hidden="1" customHeight="1" outlineLevel="1">
      <c r="A251" s="66" t="s">
        <v>355</v>
      </c>
      <c r="B251" s="68" t="b">
        <v>0</v>
      </c>
      <c r="C251" s="68" t="b">
        <v>0</v>
      </c>
      <c r="D251" s="69" t="s">
        <v>49</v>
      </c>
      <c r="E251" s="69" t="s">
        <v>67</v>
      </c>
      <c r="F251" s="69" t="s">
        <v>350</v>
      </c>
      <c r="G251" s="70"/>
      <c r="H251" s="104" t="b">
        <v>1</v>
      </c>
      <c r="I251" s="109"/>
      <c r="J251" s="111"/>
    </row>
    <row r="252" ht="57.0" hidden="1" customHeight="1" outlineLevel="1">
      <c r="A252" s="60" t="s">
        <v>356</v>
      </c>
      <c r="B252" s="61" t="b">
        <v>0</v>
      </c>
      <c r="C252" s="61" t="b">
        <v>0</v>
      </c>
      <c r="D252" s="62" t="s">
        <v>49</v>
      </c>
      <c r="E252" s="62" t="s">
        <v>67</v>
      </c>
      <c r="F252" s="62" t="s">
        <v>350</v>
      </c>
      <c r="G252" s="63"/>
      <c r="H252" s="103" t="b">
        <v>1</v>
      </c>
      <c r="I252" s="109"/>
      <c r="J252" s="111"/>
    </row>
    <row r="253" ht="57.0" hidden="1" customHeight="1" outlineLevel="1">
      <c r="A253" s="66" t="s">
        <v>357</v>
      </c>
      <c r="B253" s="68" t="b">
        <v>0</v>
      </c>
      <c r="C253" s="68" t="b">
        <v>0</v>
      </c>
      <c r="D253" s="69" t="s">
        <v>49</v>
      </c>
      <c r="E253" s="69" t="s">
        <v>67</v>
      </c>
      <c r="F253" s="69" t="s">
        <v>350</v>
      </c>
      <c r="G253" s="70"/>
      <c r="H253" s="104" t="b">
        <v>1</v>
      </c>
      <c r="I253" s="109"/>
      <c r="J253" s="111"/>
    </row>
    <row r="254" ht="57.0" hidden="1" customHeight="1" outlineLevel="1">
      <c r="A254" s="60" t="s">
        <v>358</v>
      </c>
      <c r="B254" s="61" t="b">
        <v>0</v>
      </c>
      <c r="C254" s="61" t="b">
        <v>0</v>
      </c>
      <c r="D254" s="62" t="s">
        <v>49</v>
      </c>
      <c r="E254" s="62" t="s">
        <v>67</v>
      </c>
      <c r="F254" s="62" t="s">
        <v>350</v>
      </c>
      <c r="G254" s="63"/>
      <c r="H254" s="103" t="b">
        <v>1</v>
      </c>
      <c r="I254" s="109"/>
      <c r="J254" s="111"/>
    </row>
    <row r="255" ht="57.0" hidden="1" customHeight="1" outlineLevel="1">
      <c r="A255" s="66" t="s">
        <v>359</v>
      </c>
      <c r="B255" s="68" t="b">
        <v>0</v>
      </c>
      <c r="C255" s="68" t="b">
        <v>0</v>
      </c>
      <c r="D255" s="69" t="s">
        <v>49</v>
      </c>
      <c r="E255" s="69" t="s">
        <v>67</v>
      </c>
      <c r="F255" s="69" t="s">
        <v>350</v>
      </c>
      <c r="G255" s="70"/>
      <c r="H255" s="104" t="b">
        <v>1</v>
      </c>
      <c r="I255" s="109"/>
      <c r="J255" s="111"/>
    </row>
    <row r="256" ht="57.0" hidden="1" customHeight="1" outlineLevel="1">
      <c r="A256" s="60" t="s">
        <v>360</v>
      </c>
      <c r="B256" s="61" t="b">
        <v>0</v>
      </c>
      <c r="C256" s="61" t="b">
        <v>0</v>
      </c>
      <c r="D256" s="62" t="s">
        <v>49</v>
      </c>
      <c r="E256" s="62" t="s">
        <v>67</v>
      </c>
      <c r="F256" s="62" t="s">
        <v>350</v>
      </c>
      <c r="G256" s="63"/>
      <c r="H256" s="103" t="b">
        <v>1</v>
      </c>
      <c r="I256" s="109"/>
      <c r="J256" s="111"/>
    </row>
    <row r="257" ht="57.0" hidden="1" customHeight="1" outlineLevel="1">
      <c r="A257" s="66" t="s">
        <v>361</v>
      </c>
      <c r="B257" s="68" t="b">
        <v>0</v>
      </c>
      <c r="C257" s="68" t="b">
        <v>0</v>
      </c>
      <c r="D257" s="69" t="s">
        <v>49</v>
      </c>
      <c r="E257" s="69" t="s">
        <v>67</v>
      </c>
      <c r="F257" s="69" t="s">
        <v>350</v>
      </c>
      <c r="G257" s="70"/>
      <c r="H257" s="104" t="b">
        <v>1</v>
      </c>
      <c r="I257" s="109"/>
      <c r="J257" s="111"/>
    </row>
    <row r="258" ht="57.0" hidden="1" customHeight="1" outlineLevel="1">
      <c r="A258" s="60" t="s">
        <v>362</v>
      </c>
      <c r="B258" s="61" t="b">
        <v>0</v>
      </c>
      <c r="C258" s="61" t="b">
        <v>0</v>
      </c>
      <c r="D258" s="62" t="s">
        <v>49</v>
      </c>
      <c r="E258" s="62" t="s">
        <v>67</v>
      </c>
      <c r="F258" s="62" t="s">
        <v>350</v>
      </c>
      <c r="G258" s="63"/>
      <c r="H258" s="103" t="b">
        <v>1</v>
      </c>
      <c r="I258" s="109"/>
      <c r="J258" s="111"/>
    </row>
    <row r="259" ht="57.0" hidden="1" customHeight="1" outlineLevel="1">
      <c r="A259" s="66" t="s">
        <v>363</v>
      </c>
      <c r="B259" s="68" t="b">
        <v>0</v>
      </c>
      <c r="C259" s="68" t="b">
        <v>0</v>
      </c>
      <c r="D259" s="69" t="s">
        <v>49</v>
      </c>
      <c r="E259" s="69" t="s">
        <v>67</v>
      </c>
      <c r="F259" s="69" t="s">
        <v>350</v>
      </c>
      <c r="G259" s="70"/>
      <c r="H259" s="104" t="b">
        <v>1</v>
      </c>
      <c r="I259" s="109"/>
      <c r="J259" s="111"/>
    </row>
    <row r="260" ht="57.0" hidden="1" customHeight="1" outlineLevel="1">
      <c r="A260" s="60" t="s">
        <v>364</v>
      </c>
      <c r="B260" s="61" t="b">
        <v>0</v>
      </c>
      <c r="C260" s="61" t="b">
        <v>0</v>
      </c>
      <c r="D260" s="62" t="s">
        <v>49</v>
      </c>
      <c r="E260" s="62" t="s">
        <v>67</v>
      </c>
      <c r="F260" s="62" t="s">
        <v>350</v>
      </c>
      <c r="G260" s="63"/>
      <c r="H260" s="103" t="b">
        <v>1</v>
      </c>
      <c r="I260" s="109"/>
      <c r="J260" s="111"/>
    </row>
    <row r="261" ht="57.0" customHeight="1" collapsed="1">
      <c r="A261" s="112" t="s">
        <v>365</v>
      </c>
      <c r="B261" s="113" t="b">
        <v>0</v>
      </c>
      <c r="C261" s="113" t="b">
        <v>0</v>
      </c>
      <c r="D261" s="114" t="s">
        <v>49</v>
      </c>
      <c r="E261" s="114" t="s">
        <v>52</v>
      </c>
      <c r="F261" s="114" t="s">
        <v>366</v>
      </c>
      <c r="G261" s="115" t="s">
        <v>367</v>
      </c>
      <c r="H261" s="103" t="b">
        <v>0</v>
      </c>
      <c r="I261" s="109"/>
      <c r="J261" s="111"/>
    </row>
    <row r="262" ht="57.0" hidden="1" customHeight="1" outlineLevel="1">
      <c r="A262" s="49" t="s">
        <v>368</v>
      </c>
      <c r="B262" s="50" t="b">
        <v>0</v>
      </c>
      <c r="C262" s="50" t="b">
        <v>0</v>
      </c>
      <c r="D262" s="51" t="s">
        <v>49</v>
      </c>
      <c r="E262" s="51" t="s">
        <v>67</v>
      </c>
      <c r="F262" s="51" t="s">
        <v>366</v>
      </c>
      <c r="G262" s="116"/>
      <c r="H262" s="103" t="b">
        <v>1</v>
      </c>
      <c r="I262" s="109"/>
      <c r="J262" s="117"/>
    </row>
    <row r="263" ht="57.0" hidden="1" customHeight="1" outlineLevel="1">
      <c r="A263" s="66" t="s">
        <v>369</v>
      </c>
      <c r="B263" s="68" t="b">
        <v>0</v>
      </c>
      <c r="C263" s="68" t="b">
        <v>0</v>
      </c>
      <c r="D263" s="69" t="s">
        <v>49</v>
      </c>
      <c r="E263" s="69" t="s">
        <v>67</v>
      </c>
      <c r="F263" s="69" t="s">
        <v>366</v>
      </c>
      <c r="G263" s="70"/>
      <c r="H263" s="104" t="b">
        <v>1</v>
      </c>
      <c r="I263" s="109"/>
      <c r="J263" s="117"/>
    </row>
    <row r="264" ht="57.0" hidden="1" customHeight="1" outlineLevel="1">
      <c r="A264" s="60" t="s">
        <v>370</v>
      </c>
      <c r="B264" s="61" t="b">
        <v>0</v>
      </c>
      <c r="C264" s="61" t="b">
        <v>0</v>
      </c>
      <c r="D264" s="62" t="s">
        <v>49</v>
      </c>
      <c r="E264" s="62" t="s">
        <v>67</v>
      </c>
      <c r="F264" s="62" t="s">
        <v>366</v>
      </c>
      <c r="G264" s="63"/>
      <c r="H264" s="103" t="b">
        <v>1</v>
      </c>
      <c r="I264" s="109"/>
      <c r="J264" s="117"/>
    </row>
    <row r="265" ht="57.0" hidden="1" customHeight="1" outlineLevel="1">
      <c r="A265" s="66" t="s">
        <v>371</v>
      </c>
      <c r="B265" s="68" t="b">
        <v>0</v>
      </c>
      <c r="C265" s="68" t="b">
        <v>0</v>
      </c>
      <c r="D265" s="69" t="s">
        <v>49</v>
      </c>
      <c r="E265" s="69" t="s">
        <v>67</v>
      </c>
      <c r="F265" s="69" t="s">
        <v>366</v>
      </c>
      <c r="G265" s="70"/>
      <c r="H265" s="104" t="b">
        <v>1</v>
      </c>
      <c r="I265" s="109"/>
      <c r="J265" s="117"/>
    </row>
    <row r="266" ht="57.0" hidden="1" customHeight="1" outlineLevel="1">
      <c r="A266" s="60" t="s">
        <v>372</v>
      </c>
      <c r="B266" s="61" t="b">
        <v>0</v>
      </c>
      <c r="C266" s="61" t="b">
        <v>0</v>
      </c>
      <c r="D266" s="62" t="s">
        <v>49</v>
      </c>
      <c r="E266" s="62" t="s">
        <v>67</v>
      </c>
      <c r="F266" s="62" t="s">
        <v>366</v>
      </c>
      <c r="G266" s="63"/>
      <c r="H266" s="103" t="b">
        <v>1</v>
      </c>
      <c r="I266" s="109"/>
      <c r="J266" s="117"/>
    </row>
    <row r="267" ht="57.0" hidden="1" customHeight="1" outlineLevel="1">
      <c r="A267" s="66" t="s">
        <v>373</v>
      </c>
      <c r="B267" s="68" t="b">
        <v>0</v>
      </c>
      <c r="C267" s="68" t="b">
        <v>0</v>
      </c>
      <c r="D267" s="69" t="s">
        <v>49</v>
      </c>
      <c r="E267" s="69" t="s">
        <v>67</v>
      </c>
      <c r="F267" s="69" t="s">
        <v>366</v>
      </c>
      <c r="G267" s="70"/>
      <c r="H267" s="104" t="b">
        <v>1</v>
      </c>
      <c r="I267" s="109"/>
      <c r="J267" s="117"/>
    </row>
    <row r="268" ht="57.0" hidden="1" customHeight="1" outlineLevel="1">
      <c r="A268" s="60" t="s">
        <v>374</v>
      </c>
      <c r="B268" s="61" t="b">
        <v>0</v>
      </c>
      <c r="C268" s="61" t="b">
        <v>0</v>
      </c>
      <c r="D268" s="62" t="s">
        <v>49</v>
      </c>
      <c r="E268" s="62" t="s">
        <v>67</v>
      </c>
      <c r="F268" s="62" t="s">
        <v>366</v>
      </c>
      <c r="G268" s="63"/>
      <c r="H268" s="103" t="b">
        <v>1</v>
      </c>
      <c r="I268" s="109"/>
      <c r="J268" s="117"/>
    </row>
    <row r="269" ht="57.0" hidden="1" customHeight="1" outlineLevel="1">
      <c r="A269" s="66" t="s">
        <v>375</v>
      </c>
      <c r="B269" s="68" t="b">
        <v>0</v>
      </c>
      <c r="C269" s="68" t="b">
        <v>0</v>
      </c>
      <c r="D269" s="69" t="s">
        <v>49</v>
      </c>
      <c r="E269" s="69" t="s">
        <v>67</v>
      </c>
      <c r="F269" s="69" t="s">
        <v>366</v>
      </c>
      <c r="G269" s="70"/>
      <c r="H269" s="104" t="b">
        <v>1</v>
      </c>
      <c r="I269" s="109"/>
      <c r="J269" s="117"/>
    </row>
    <row r="270" ht="57.0" hidden="1" customHeight="1" outlineLevel="1">
      <c r="A270" s="60" t="s">
        <v>376</v>
      </c>
      <c r="B270" s="61" t="b">
        <v>0</v>
      </c>
      <c r="C270" s="61" t="b">
        <v>0</v>
      </c>
      <c r="D270" s="62" t="s">
        <v>49</v>
      </c>
      <c r="E270" s="62" t="s">
        <v>67</v>
      </c>
      <c r="F270" s="62" t="s">
        <v>366</v>
      </c>
      <c r="G270" s="63"/>
      <c r="H270" s="103" t="b">
        <v>1</v>
      </c>
      <c r="I270" s="109"/>
      <c r="J270" s="117"/>
    </row>
    <row r="271" ht="57.0" hidden="1" customHeight="1" outlineLevel="1">
      <c r="A271" s="66" t="s">
        <v>377</v>
      </c>
      <c r="B271" s="68" t="b">
        <v>0</v>
      </c>
      <c r="C271" s="68" t="b">
        <v>0</v>
      </c>
      <c r="D271" s="69" t="s">
        <v>49</v>
      </c>
      <c r="E271" s="69" t="s">
        <v>67</v>
      </c>
      <c r="F271" s="69" t="s">
        <v>366</v>
      </c>
      <c r="G271" s="70"/>
      <c r="H271" s="104" t="b">
        <v>1</v>
      </c>
      <c r="I271" s="109"/>
      <c r="J271" s="117"/>
    </row>
    <row r="272" ht="57.0" hidden="1" customHeight="1" outlineLevel="1">
      <c r="A272" s="60" t="s">
        <v>378</v>
      </c>
      <c r="B272" s="61" t="b">
        <v>0</v>
      </c>
      <c r="C272" s="61" t="b">
        <v>0</v>
      </c>
      <c r="D272" s="62" t="s">
        <v>49</v>
      </c>
      <c r="E272" s="62" t="s">
        <v>67</v>
      </c>
      <c r="F272" s="62" t="s">
        <v>366</v>
      </c>
      <c r="G272" s="63"/>
      <c r="H272" s="103" t="b">
        <v>1</v>
      </c>
      <c r="I272" s="109"/>
      <c r="J272" s="117"/>
    </row>
    <row r="273" ht="57.0" hidden="1" customHeight="1" outlineLevel="1">
      <c r="A273" s="66" t="s">
        <v>379</v>
      </c>
      <c r="B273" s="68" t="b">
        <v>0</v>
      </c>
      <c r="C273" s="68" t="b">
        <v>0</v>
      </c>
      <c r="D273" s="69" t="s">
        <v>49</v>
      </c>
      <c r="E273" s="69" t="s">
        <v>67</v>
      </c>
      <c r="F273" s="69" t="s">
        <v>366</v>
      </c>
      <c r="G273" s="70"/>
      <c r="H273" s="104" t="b">
        <v>1</v>
      </c>
      <c r="I273" s="109"/>
      <c r="J273" s="117"/>
    </row>
    <row r="274" ht="57.0" hidden="1" customHeight="1" outlineLevel="1">
      <c r="A274" s="118" t="s">
        <v>380</v>
      </c>
      <c r="B274" s="119" t="b">
        <v>0</v>
      </c>
      <c r="C274" s="119" t="b">
        <v>0</v>
      </c>
      <c r="D274" s="120" t="s">
        <v>49</v>
      </c>
      <c r="E274" s="120" t="s">
        <v>67</v>
      </c>
      <c r="F274" s="120" t="s">
        <v>366</v>
      </c>
      <c r="G274" s="121"/>
      <c r="H274" s="103" t="b">
        <v>1</v>
      </c>
      <c r="I274" s="109"/>
      <c r="J274" s="117"/>
    </row>
    <row r="275" ht="31.5" customHeight="1">
      <c r="A275" s="122" t="s">
        <v>381</v>
      </c>
      <c r="B275" s="123"/>
      <c r="C275" s="123"/>
      <c r="D275" s="123"/>
      <c r="E275" s="123"/>
      <c r="F275" s="123"/>
      <c r="G275" s="124"/>
      <c r="H275" s="125"/>
      <c r="I275" s="126"/>
      <c r="J275" s="126"/>
    </row>
    <row r="276" ht="31.5" customHeight="1">
      <c r="A276" s="127"/>
      <c r="B276" s="127"/>
      <c r="C276" s="127"/>
      <c r="D276" s="127"/>
      <c r="E276" s="127"/>
      <c r="F276" s="127"/>
      <c r="G276" s="127"/>
      <c r="H276" s="125"/>
      <c r="I276" s="126"/>
      <c r="J276" s="126"/>
    </row>
    <row r="277" ht="57.0" customHeight="1">
      <c r="A277" s="128" t="s">
        <v>382</v>
      </c>
      <c r="B277" s="129"/>
      <c r="C277" s="129"/>
      <c r="D277" s="129"/>
      <c r="E277" s="129"/>
      <c r="F277" s="129"/>
      <c r="G277" s="129"/>
      <c r="H277" s="129" t="s">
        <v>41</v>
      </c>
      <c r="I277" s="130"/>
      <c r="J277" s="131"/>
    </row>
    <row r="278" ht="57.0" customHeight="1">
      <c r="A278" s="132" t="s">
        <v>383</v>
      </c>
      <c r="B278" s="50" t="b">
        <v>0</v>
      </c>
      <c r="C278" s="50" t="b">
        <v>0</v>
      </c>
      <c r="D278" s="133" t="s">
        <v>49</v>
      </c>
      <c r="E278" s="133" t="s">
        <v>384</v>
      </c>
      <c r="F278" s="133" t="s">
        <v>385</v>
      </c>
      <c r="G278" s="134" t="s">
        <v>386</v>
      </c>
      <c r="H278" s="135" t="b">
        <v>0</v>
      </c>
      <c r="I278" s="136" t="s">
        <v>387</v>
      </c>
      <c r="J278" s="58">
        <f>IF(
    COUNTIFS(C278:C309, FALSE, H278:H309, FALSE) = 0,
    0,
    COUNTIFS(B278:B309, TRUE, C278:C309, FALSE, H278:H309, FALSE) /
    COUNTIFS(C278:C309, FALSE, H278:H309, FALSE)
)</f>
        <v>0</v>
      </c>
    </row>
    <row r="279" ht="57.0" customHeight="1">
      <c r="A279" s="137" t="s">
        <v>388</v>
      </c>
      <c r="B279" s="138" t="b">
        <v>0</v>
      </c>
      <c r="C279" s="138" t="b">
        <v>0</v>
      </c>
      <c r="D279" s="139" t="s">
        <v>49</v>
      </c>
      <c r="E279" s="139" t="s">
        <v>389</v>
      </c>
      <c r="F279" s="139" t="s">
        <v>390</v>
      </c>
      <c r="G279" s="140"/>
      <c r="H279" s="141" t="b">
        <v>0</v>
      </c>
      <c r="I279" s="142" t="s">
        <v>391</v>
      </c>
      <c r="J279" s="143">
        <f>COUNTIF(C278:C309, TRUE)</f>
        <v>0</v>
      </c>
    </row>
    <row r="280" ht="57.0" customHeight="1">
      <c r="A280" s="144" t="s">
        <v>392</v>
      </c>
      <c r="B280" s="61" t="b">
        <v>0</v>
      </c>
      <c r="C280" s="61" t="b">
        <v>0</v>
      </c>
      <c r="D280" s="145" t="s">
        <v>49</v>
      </c>
      <c r="E280" s="145" t="s">
        <v>393</v>
      </c>
      <c r="F280" s="145" t="s">
        <v>394</v>
      </c>
      <c r="G280" s="146"/>
      <c r="H280" s="147" t="b">
        <v>0</v>
      </c>
      <c r="I280" s="148" t="s">
        <v>110</v>
      </c>
      <c r="J280" s="98">
        <f>J31</f>
        <v>0</v>
      </c>
    </row>
    <row r="281" ht="57.0" customHeight="1">
      <c r="A281" s="137" t="s">
        <v>395</v>
      </c>
      <c r="B281" s="138" t="b">
        <v>0</v>
      </c>
      <c r="C281" s="138" t="b">
        <v>0</v>
      </c>
      <c r="D281" s="139" t="s">
        <v>49</v>
      </c>
      <c r="E281" s="139" t="s">
        <v>396</v>
      </c>
      <c r="F281" s="139" t="s">
        <v>390</v>
      </c>
      <c r="G281" s="140"/>
      <c r="H281" s="149" t="b">
        <v>0</v>
      </c>
      <c r="I281" s="150" t="str">
        <f>image("https://m.media-amazon.com/images/I/A19vWNnhLaL._UF1000,1000_QL80_.jpg")</f>
        <v>#REF!</v>
      </c>
    </row>
    <row r="282" ht="57.0" customHeight="1">
      <c r="A282" s="144" t="s">
        <v>397</v>
      </c>
      <c r="B282" s="61" t="b">
        <v>0</v>
      </c>
      <c r="C282" s="61" t="b">
        <v>0</v>
      </c>
      <c r="D282" s="145" t="s">
        <v>49</v>
      </c>
      <c r="E282" s="145" t="s">
        <v>398</v>
      </c>
      <c r="F282" s="145" t="s">
        <v>399</v>
      </c>
      <c r="G282" s="146"/>
      <c r="H282" s="53" t="b">
        <v>0</v>
      </c>
    </row>
    <row r="283" ht="57.0" customHeight="1">
      <c r="A283" s="151" t="s">
        <v>400</v>
      </c>
      <c r="B283" s="138" t="b">
        <v>0</v>
      </c>
      <c r="C283" s="138" t="b">
        <v>0</v>
      </c>
      <c r="D283" s="139" t="s">
        <v>401</v>
      </c>
      <c r="E283" s="139" t="s">
        <v>402</v>
      </c>
      <c r="F283" s="139" t="s">
        <v>403</v>
      </c>
      <c r="G283" s="140" t="s">
        <v>404</v>
      </c>
      <c r="H283" s="149" t="b">
        <v>0</v>
      </c>
    </row>
    <row r="284" ht="57.0" customHeight="1">
      <c r="A284" s="144" t="s">
        <v>405</v>
      </c>
      <c r="B284" s="61" t="b">
        <v>0</v>
      </c>
      <c r="C284" s="61" t="b">
        <v>0</v>
      </c>
      <c r="D284" s="145" t="s">
        <v>49</v>
      </c>
      <c r="E284" s="145" t="s">
        <v>406</v>
      </c>
      <c r="F284" s="145" t="s">
        <v>407</v>
      </c>
      <c r="G284" s="146" t="s">
        <v>408</v>
      </c>
      <c r="H284" s="53" t="b">
        <v>0</v>
      </c>
    </row>
    <row r="285" ht="57.0" customHeight="1">
      <c r="A285" s="137" t="s">
        <v>409</v>
      </c>
      <c r="B285" s="138" t="b">
        <v>0</v>
      </c>
      <c r="C285" s="138" t="b">
        <v>0</v>
      </c>
      <c r="D285" s="139" t="s">
        <v>49</v>
      </c>
      <c r="E285" s="139" t="s">
        <v>410</v>
      </c>
      <c r="F285" s="139" t="s">
        <v>394</v>
      </c>
      <c r="G285" s="140"/>
      <c r="H285" s="149" t="b">
        <v>0</v>
      </c>
    </row>
    <row r="286" ht="57.0" customHeight="1">
      <c r="A286" s="144" t="s">
        <v>411</v>
      </c>
      <c r="B286" s="61" t="b">
        <v>0</v>
      </c>
      <c r="C286" s="61" t="b">
        <v>0</v>
      </c>
      <c r="D286" s="145" t="s">
        <v>49</v>
      </c>
      <c r="E286" s="145" t="s">
        <v>412</v>
      </c>
      <c r="F286" s="145" t="s">
        <v>399</v>
      </c>
      <c r="G286" s="146"/>
      <c r="H286" s="53" t="b">
        <v>0</v>
      </c>
    </row>
    <row r="287" ht="57.0" customHeight="1">
      <c r="A287" s="137" t="s">
        <v>413</v>
      </c>
      <c r="B287" s="138" t="b">
        <v>0</v>
      </c>
      <c r="C287" s="138" t="b">
        <v>0</v>
      </c>
      <c r="D287" s="139" t="s">
        <v>49</v>
      </c>
      <c r="E287" s="139" t="s">
        <v>414</v>
      </c>
      <c r="F287" s="139" t="s">
        <v>390</v>
      </c>
      <c r="G287" s="140"/>
      <c r="H287" s="152" t="b">
        <v>0</v>
      </c>
      <c r="I287" s="153"/>
      <c r="J287" s="153"/>
    </row>
    <row r="288" ht="57.0" customHeight="1">
      <c r="A288" s="154" t="s">
        <v>415</v>
      </c>
      <c r="B288" s="61" t="b">
        <v>0</v>
      </c>
      <c r="C288" s="61" t="b">
        <v>0</v>
      </c>
      <c r="D288" s="145" t="s">
        <v>49</v>
      </c>
      <c r="E288" s="145" t="s">
        <v>416</v>
      </c>
      <c r="F288" s="145" t="s">
        <v>417</v>
      </c>
      <c r="G288" s="146"/>
      <c r="H288" s="155" t="b">
        <v>0</v>
      </c>
      <c r="I288" s="156"/>
      <c r="J288" s="156"/>
    </row>
    <row r="289" ht="57.0" customHeight="1">
      <c r="A289" s="137" t="s">
        <v>418</v>
      </c>
      <c r="B289" s="138" t="b">
        <v>0</v>
      </c>
      <c r="C289" s="138" t="b">
        <v>0</v>
      </c>
      <c r="D289" s="139" t="s">
        <v>401</v>
      </c>
      <c r="E289" s="139" t="s">
        <v>419</v>
      </c>
      <c r="F289" s="139" t="s">
        <v>403</v>
      </c>
      <c r="G289" s="140" t="s">
        <v>420</v>
      </c>
      <c r="H289" s="157" t="b">
        <v>0</v>
      </c>
      <c r="I289" s="158"/>
      <c r="J289" s="158"/>
    </row>
    <row r="290" ht="57.0" customHeight="1">
      <c r="A290" s="154" t="s">
        <v>421</v>
      </c>
      <c r="B290" s="61" t="b">
        <v>0</v>
      </c>
      <c r="C290" s="61" t="b">
        <v>0</v>
      </c>
      <c r="D290" s="145" t="s">
        <v>49</v>
      </c>
      <c r="E290" s="145" t="s">
        <v>422</v>
      </c>
      <c r="F290" s="145" t="s">
        <v>423</v>
      </c>
      <c r="G290" s="146"/>
      <c r="H290" s="159" t="b">
        <v>0</v>
      </c>
      <c r="I290" s="160"/>
      <c r="J290" s="161"/>
    </row>
    <row r="291" ht="57.0" customHeight="1">
      <c r="A291" s="151" t="s">
        <v>424</v>
      </c>
      <c r="B291" s="138" t="b">
        <v>0</v>
      </c>
      <c r="C291" s="138" t="b">
        <v>0</v>
      </c>
      <c r="D291" s="139" t="s">
        <v>425</v>
      </c>
      <c r="E291" s="139" t="s">
        <v>393</v>
      </c>
      <c r="F291" s="139" t="s">
        <v>394</v>
      </c>
      <c r="G291" s="162" t="s">
        <v>426</v>
      </c>
      <c r="H291" s="163" t="b">
        <v>0</v>
      </c>
      <c r="I291" s="160"/>
      <c r="J291" s="161"/>
    </row>
    <row r="292" ht="57.0" customHeight="1" collapsed="1">
      <c r="A292" s="144" t="s">
        <v>427</v>
      </c>
      <c r="B292" s="61" t="b">
        <v>0</v>
      </c>
      <c r="C292" s="61" t="b">
        <v>0</v>
      </c>
      <c r="D292" s="145" t="s">
        <v>49</v>
      </c>
      <c r="E292" s="145" t="s">
        <v>428</v>
      </c>
      <c r="F292" s="145" t="s">
        <v>390</v>
      </c>
      <c r="G292" s="146"/>
      <c r="H292" s="103" t="b">
        <v>0</v>
      </c>
      <c r="I292" s="160"/>
      <c r="J292" s="161"/>
    </row>
    <row r="293" ht="57.0" hidden="1" customHeight="1" outlineLevel="1">
      <c r="A293" s="144" t="s">
        <v>429</v>
      </c>
      <c r="B293" s="61" t="b">
        <v>0</v>
      </c>
      <c r="C293" s="61" t="b">
        <v>0</v>
      </c>
      <c r="D293" s="145" t="s">
        <v>49</v>
      </c>
      <c r="E293" s="145" t="s">
        <v>430</v>
      </c>
      <c r="F293" s="145" t="s">
        <v>390</v>
      </c>
      <c r="G293" s="146"/>
      <c r="H293" s="103" t="b">
        <v>1</v>
      </c>
      <c r="I293" s="160"/>
      <c r="J293" s="161"/>
    </row>
    <row r="294" ht="57.0" hidden="1" customHeight="1" outlineLevel="1">
      <c r="A294" s="164" t="s">
        <v>431</v>
      </c>
      <c r="B294" s="68" t="b">
        <v>0</v>
      </c>
      <c r="C294" s="68" t="b">
        <v>0</v>
      </c>
      <c r="D294" s="165" t="s">
        <v>49</v>
      </c>
      <c r="E294" s="165" t="s">
        <v>432</v>
      </c>
      <c r="F294" s="165" t="s">
        <v>390</v>
      </c>
      <c r="G294" s="166"/>
      <c r="H294" s="104" t="b">
        <v>1</v>
      </c>
      <c r="I294" s="160"/>
      <c r="J294" s="161"/>
    </row>
    <row r="295" ht="57.0" hidden="1" customHeight="1" outlineLevel="1">
      <c r="A295" s="144" t="s">
        <v>433</v>
      </c>
      <c r="B295" s="61" t="b">
        <v>0</v>
      </c>
      <c r="C295" s="61" t="b">
        <v>0</v>
      </c>
      <c r="D295" s="145" t="s">
        <v>49</v>
      </c>
      <c r="E295" s="145" t="s">
        <v>432</v>
      </c>
      <c r="F295" s="145" t="s">
        <v>390</v>
      </c>
      <c r="G295" s="146"/>
      <c r="H295" s="103" t="b">
        <v>1</v>
      </c>
      <c r="I295" s="160"/>
      <c r="J295" s="161"/>
    </row>
    <row r="296" ht="57.0" hidden="1" customHeight="1" outlineLevel="1">
      <c r="A296" s="164" t="s">
        <v>434</v>
      </c>
      <c r="B296" s="68" t="b">
        <v>0</v>
      </c>
      <c r="C296" s="68" t="b">
        <v>0</v>
      </c>
      <c r="D296" s="165" t="s">
        <v>49</v>
      </c>
      <c r="E296" s="165" t="s">
        <v>432</v>
      </c>
      <c r="F296" s="165" t="s">
        <v>390</v>
      </c>
      <c r="G296" s="166"/>
      <c r="H296" s="104" t="b">
        <v>1</v>
      </c>
      <c r="I296" s="160"/>
      <c r="J296" s="161"/>
    </row>
    <row r="297" ht="57.0" hidden="1" customHeight="1" outlineLevel="1">
      <c r="A297" s="144" t="s">
        <v>435</v>
      </c>
      <c r="B297" s="61" t="b">
        <v>0</v>
      </c>
      <c r="C297" s="61" t="b">
        <v>0</v>
      </c>
      <c r="D297" s="145" t="s">
        <v>49</v>
      </c>
      <c r="E297" s="145" t="s">
        <v>432</v>
      </c>
      <c r="F297" s="145" t="s">
        <v>390</v>
      </c>
      <c r="G297" s="146"/>
      <c r="H297" s="103" t="b">
        <v>1</v>
      </c>
      <c r="I297" s="160"/>
      <c r="J297" s="161"/>
    </row>
    <row r="298" ht="57.0" hidden="1" customHeight="1" outlineLevel="1">
      <c r="A298" s="164" t="s">
        <v>436</v>
      </c>
      <c r="B298" s="68" t="b">
        <v>0</v>
      </c>
      <c r="C298" s="68" t="b">
        <v>0</v>
      </c>
      <c r="D298" s="165" t="s">
        <v>49</v>
      </c>
      <c r="E298" s="165" t="s">
        <v>432</v>
      </c>
      <c r="F298" s="165" t="s">
        <v>390</v>
      </c>
      <c r="G298" s="166"/>
      <c r="H298" s="104" t="b">
        <v>1</v>
      </c>
      <c r="I298" s="160"/>
      <c r="J298" s="161"/>
    </row>
    <row r="299" ht="57.0" hidden="1" customHeight="1" outlineLevel="1">
      <c r="A299" s="144" t="s">
        <v>437</v>
      </c>
      <c r="B299" s="61" t="b">
        <v>0</v>
      </c>
      <c r="C299" s="61" t="b">
        <v>0</v>
      </c>
      <c r="D299" s="145" t="s">
        <v>49</v>
      </c>
      <c r="E299" s="145" t="s">
        <v>432</v>
      </c>
      <c r="F299" s="145" t="s">
        <v>390</v>
      </c>
      <c r="G299" s="146"/>
      <c r="H299" s="103" t="b">
        <v>1</v>
      </c>
      <c r="I299" s="160"/>
      <c r="J299" s="161"/>
    </row>
    <row r="300" ht="57.0" hidden="1" customHeight="1" outlineLevel="1">
      <c r="A300" s="164" t="s">
        <v>438</v>
      </c>
      <c r="B300" s="68" t="b">
        <v>0</v>
      </c>
      <c r="C300" s="68" t="b">
        <v>0</v>
      </c>
      <c r="D300" s="165" t="s">
        <v>49</v>
      </c>
      <c r="E300" s="165" t="s">
        <v>432</v>
      </c>
      <c r="F300" s="165" t="s">
        <v>390</v>
      </c>
      <c r="G300" s="166"/>
      <c r="H300" s="104" t="b">
        <v>1</v>
      </c>
      <c r="I300" s="160"/>
      <c r="J300" s="161"/>
    </row>
    <row r="301" ht="57.0" hidden="1" customHeight="1" outlineLevel="1">
      <c r="A301" s="144" t="s">
        <v>439</v>
      </c>
      <c r="B301" s="61" t="b">
        <v>0</v>
      </c>
      <c r="C301" s="61" t="b">
        <v>0</v>
      </c>
      <c r="D301" s="145" t="s">
        <v>49</v>
      </c>
      <c r="E301" s="145" t="s">
        <v>432</v>
      </c>
      <c r="F301" s="145" t="s">
        <v>390</v>
      </c>
      <c r="G301" s="146"/>
      <c r="H301" s="103" t="b">
        <v>1</v>
      </c>
      <c r="I301" s="160"/>
      <c r="J301" s="161"/>
    </row>
    <row r="302" ht="57.0" hidden="1" customHeight="1" outlineLevel="1">
      <c r="A302" s="164" t="s">
        <v>440</v>
      </c>
      <c r="B302" s="68" t="b">
        <v>0</v>
      </c>
      <c r="C302" s="68" t="b">
        <v>0</v>
      </c>
      <c r="D302" s="165" t="s">
        <v>49</v>
      </c>
      <c r="E302" s="165" t="s">
        <v>432</v>
      </c>
      <c r="F302" s="165" t="s">
        <v>390</v>
      </c>
      <c r="G302" s="166"/>
      <c r="H302" s="104" t="b">
        <v>1</v>
      </c>
      <c r="I302" s="160"/>
      <c r="J302" s="161"/>
    </row>
    <row r="303" ht="57.0" hidden="1" customHeight="1" outlineLevel="1">
      <c r="A303" s="144" t="s">
        <v>441</v>
      </c>
      <c r="B303" s="61" t="b">
        <v>0</v>
      </c>
      <c r="C303" s="61" t="b">
        <v>0</v>
      </c>
      <c r="D303" s="145" t="s">
        <v>49</v>
      </c>
      <c r="E303" s="145" t="s">
        <v>432</v>
      </c>
      <c r="F303" s="145" t="s">
        <v>390</v>
      </c>
      <c r="G303" s="146"/>
      <c r="H303" s="103" t="b">
        <v>1</v>
      </c>
      <c r="I303" s="160"/>
      <c r="J303" s="161"/>
    </row>
    <row r="304" ht="57.0" hidden="1" customHeight="1" outlineLevel="1">
      <c r="A304" s="164" t="s">
        <v>442</v>
      </c>
      <c r="B304" s="68" t="b">
        <v>0</v>
      </c>
      <c r="C304" s="68" t="b">
        <v>0</v>
      </c>
      <c r="D304" s="165" t="s">
        <v>49</v>
      </c>
      <c r="E304" s="165" t="s">
        <v>432</v>
      </c>
      <c r="F304" s="165" t="s">
        <v>390</v>
      </c>
      <c r="G304" s="166"/>
      <c r="H304" s="104" t="b">
        <v>1</v>
      </c>
      <c r="I304" s="160"/>
      <c r="J304" s="161"/>
    </row>
    <row r="305" ht="57.0" hidden="1" customHeight="1" outlineLevel="1">
      <c r="A305" s="144" t="s">
        <v>443</v>
      </c>
      <c r="B305" s="61" t="b">
        <v>0</v>
      </c>
      <c r="C305" s="61" t="b">
        <v>0</v>
      </c>
      <c r="D305" s="145" t="s">
        <v>49</v>
      </c>
      <c r="E305" s="145" t="s">
        <v>432</v>
      </c>
      <c r="F305" s="145" t="s">
        <v>390</v>
      </c>
      <c r="G305" s="146"/>
      <c r="H305" s="103" t="b">
        <v>1</v>
      </c>
      <c r="I305" s="160"/>
      <c r="J305" s="161"/>
    </row>
    <row r="306" ht="57.0" customHeight="1">
      <c r="A306" s="137" t="s">
        <v>444</v>
      </c>
      <c r="B306" s="138" t="b">
        <v>0</v>
      </c>
      <c r="C306" s="138" t="b">
        <v>0</v>
      </c>
      <c r="D306" s="139" t="s">
        <v>49</v>
      </c>
      <c r="E306" s="139" t="s">
        <v>384</v>
      </c>
      <c r="F306" s="139" t="s">
        <v>445</v>
      </c>
      <c r="G306" s="140"/>
      <c r="H306" s="163" t="b">
        <v>0</v>
      </c>
      <c r="I306" s="160"/>
      <c r="J306" s="161"/>
    </row>
    <row r="307" ht="57.0" customHeight="1">
      <c r="A307" s="144" t="s">
        <v>446</v>
      </c>
      <c r="B307" s="61" t="b">
        <v>0</v>
      </c>
      <c r="C307" s="61" t="b">
        <v>0</v>
      </c>
      <c r="D307" s="145" t="s">
        <v>49</v>
      </c>
      <c r="E307" s="145" t="s">
        <v>447</v>
      </c>
      <c r="F307" s="145" t="s">
        <v>399</v>
      </c>
      <c r="G307" s="146" t="s">
        <v>448</v>
      </c>
      <c r="H307" s="103" t="b">
        <v>0</v>
      </c>
      <c r="I307" s="160"/>
      <c r="J307" s="161"/>
    </row>
    <row r="308" ht="57.0" customHeight="1">
      <c r="A308" s="137" t="s">
        <v>449</v>
      </c>
      <c r="B308" s="138" t="b">
        <v>0</v>
      </c>
      <c r="C308" s="138" t="b">
        <v>0</v>
      </c>
      <c r="D308" s="139" t="s">
        <v>401</v>
      </c>
      <c r="E308" s="139" t="s">
        <v>450</v>
      </c>
      <c r="F308" s="139" t="s">
        <v>423</v>
      </c>
      <c r="G308" s="140"/>
      <c r="H308" s="167" t="b">
        <v>0</v>
      </c>
      <c r="I308" s="160"/>
      <c r="J308" s="161"/>
    </row>
    <row r="309" ht="57.0" customHeight="1">
      <c r="A309" s="168" t="s">
        <v>451</v>
      </c>
      <c r="B309" s="113" t="b">
        <v>0</v>
      </c>
      <c r="C309" s="113" t="b">
        <v>0</v>
      </c>
      <c r="D309" s="169" t="s">
        <v>49</v>
      </c>
      <c r="E309" s="170" t="s">
        <v>402</v>
      </c>
      <c r="F309" s="170" t="s">
        <v>452</v>
      </c>
      <c r="G309" s="171"/>
      <c r="H309" s="172" t="b">
        <v>0</v>
      </c>
      <c r="I309" s="160"/>
      <c r="J309" s="161"/>
    </row>
    <row r="310" ht="31.5" customHeight="1">
      <c r="A310" s="173" t="str">
        <f> A275</f>
        <v>LEGEND: ⭐= Important / Major Impact | 📺= Series | 🍿= MCU Movie / Special | 🎬= Shortfilm/Oneshot | ⭕= Other Universe (Non-MCU)</v>
      </c>
      <c r="B310" s="174"/>
      <c r="C310" s="174"/>
      <c r="D310" s="174"/>
      <c r="E310" s="174"/>
      <c r="F310" s="174"/>
      <c r="G310" s="175"/>
      <c r="H310" s="125"/>
    </row>
    <row r="311" ht="31.5" customHeight="1">
      <c r="A311" s="127"/>
      <c r="B311" s="127"/>
      <c r="C311" s="127"/>
      <c r="D311" s="176" t="s">
        <v>453</v>
      </c>
      <c r="E311" s="127"/>
      <c r="F311" s="127"/>
      <c r="G311" s="127"/>
      <c r="H311" s="125"/>
      <c r="I311" s="126"/>
      <c r="J311" s="126"/>
    </row>
    <row r="312" ht="57.0" customHeight="1">
      <c r="A312" s="177" t="s">
        <v>454</v>
      </c>
      <c r="B312" s="178"/>
      <c r="C312" s="178"/>
      <c r="D312" s="178"/>
      <c r="E312" s="178"/>
      <c r="F312" s="178"/>
      <c r="G312" s="178"/>
      <c r="H312" s="178"/>
      <c r="I312" s="178"/>
      <c r="J312" s="179"/>
    </row>
    <row r="313" ht="57.0" customHeight="1">
      <c r="A313" s="49" t="s">
        <v>455</v>
      </c>
      <c r="B313" s="50" t="b">
        <v>0</v>
      </c>
      <c r="C313" s="50" t="b">
        <v>0</v>
      </c>
      <c r="D313" s="51" t="s">
        <v>401</v>
      </c>
      <c r="E313" s="51" t="s">
        <v>456</v>
      </c>
      <c r="F313" s="51" t="s">
        <v>457</v>
      </c>
      <c r="G313" s="116"/>
      <c r="H313" s="135" t="b">
        <v>0</v>
      </c>
      <c r="I313" s="136" t="s">
        <v>458</v>
      </c>
      <c r="J313" s="58">
        <f>IF(
    COUNTIFS(C313:C323, FALSE, H313:H323, FALSE) = 0,
    0,
    COUNTIFS(B313:B323, TRUE, C313:C323, FALSE, H313:H323, FALSE) /
    COUNTIFS(C313:C323, FALSE, H313:H323, FALSE)
)</f>
        <v>0</v>
      </c>
    </row>
    <row r="314" ht="57.0" customHeight="1">
      <c r="A314" s="180" t="s">
        <v>459</v>
      </c>
      <c r="B314" s="181" t="b">
        <v>0</v>
      </c>
      <c r="C314" s="181" t="b">
        <v>0</v>
      </c>
      <c r="D314" s="182" t="s">
        <v>401</v>
      </c>
      <c r="E314" s="182" t="s">
        <v>460</v>
      </c>
      <c r="F314" s="182" t="s">
        <v>457</v>
      </c>
      <c r="G314" s="183" t="s">
        <v>461</v>
      </c>
      <c r="H314" s="184" t="b">
        <v>0</v>
      </c>
      <c r="I314" s="142" t="s">
        <v>462</v>
      </c>
      <c r="J314" s="143">
        <f>COUNTIF(C313:C323, TRUE)</f>
        <v>0</v>
      </c>
    </row>
    <row r="315" ht="57.0" customHeight="1">
      <c r="A315" s="60" t="s">
        <v>463</v>
      </c>
      <c r="B315" s="61" t="b">
        <v>0</v>
      </c>
      <c r="C315" s="61" t="b">
        <v>0</v>
      </c>
      <c r="D315" s="62" t="s">
        <v>49</v>
      </c>
      <c r="E315" s="62" t="s">
        <v>464</v>
      </c>
      <c r="F315" s="62" t="s">
        <v>457</v>
      </c>
      <c r="G315" s="185" t="s">
        <v>465</v>
      </c>
      <c r="H315" s="147" t="b">
        <v>0</v>
      </c>
      <c r="I315" s="148" t="s">
        <v>110</v>
      </c>
      <c r="J315" s="98">
        <f>J31</f>
        <v>0</v>
      </c>
    </row>
    <row r="316" ht="57.0" customHeight="1">
      <c r="A316" s="180" t="s">
        <v>466</v>
      </c>
      <c r="B316" s="181" t="b">
        <v>0</v>
      </c>
      <c r="C316" s="181" t="b">
        <v>0</v>
      </c>
      <c r="D316" s="182" t="s">
        <v>401</v>
      </c>
      <c r="E316" s="182" t="s">
        <v>467</v>
      </c>
      <c r="F316" s="182" t="s">
        <v>468</v>
      </c>
      <c r="G316" s="186"/>
      <c r="H316" s="187" t="b">
        <v>0</v>
      </c>
      <c r="I316" s="188" t="str">
        <f>image("https://static.wikia.nocookie.net/marveldatabase/images/8/85/Avengers_Vol_1_100.jpg/revision/latest?cb=20240302084841")</f>
        <v>#REF!</v>
      </c>
    </row>
    <row r="317" ht="57.0" customHeight="1">
      <c r="A317" s="60" t="s">
        <v>469</v>
      </c>
      <c r="B317" s="61" t="b">
        <v>0</v>
      </c>
      <c r="C317" s="61" t="b">
        <v>0</v>
      </c>
      <c r="D317" s="62" t="s">
        <v>401</v>
      </c>
      <c r="E317" s="62" t="s">
        <v>416</v>
      </c>
      <c r="F317" s="62" t="s">
        <v>457</v>
      </c>
      <c r="G317" s="63"/>
      <c r="H317" s="53" t="b">
        <v>0</v>
      </c>
    </row>
    <row r="318" ht="57.0" customHeight="1">
      <c r="A318" s="180" t="s">
        <v>470</v>
      </c>
      <c r="B318" s="181" t="b">
        <v>0</v>
      </c>
      <c r="C318" s="181" t="b">
        <v>0</v>
      </c>
      <c r="D318" s="182" t="s">
        <v>49</v>
      </c>
      <c r="E318" s="182" t="s">
        <v>471</v>
      </c>
      <c r="F318" s="182" t="s">
        <v>472</v>
      </c>
      <c r="G318" s="186"/>
      <c r="H318" s="187" t="b">
        <v>0</v>
      </c>
    </row>
    <row r="319" ht="57.0" customHeight="1">
      <c r="A319" s="60" t="s">
        <v>473</v>
      </c>
      <c r="B319" s="61" t="b">
        <v>0</v>
      </c>
      <c r="C319" s="61" t="b">
        <v>0</v>
      </c>
      <c r="D319" s="62" t="s">
        <v>49</v>
      </c>
      <c r="E319" s="62" t="s">
        <v>464</v>
      </c>
      <c r="F319" s="62" t="s">
        <v>457</v>
      </c>
      <c r="G319" s="185" t="s">
        <v>474</v>
      </c>
      <c r="H319" s="53" t="b">
        <v>0</v>
      </c>
    </row>
    <row r="320" ht="57.0" customHeight="1">
      <c r="A320" s="180" t="s">
        <v>475</v>
      </c>
      <c r="B320" s="181" t="b">
        <v>0</v>
      </c>
      <c r="C320" s="181" t="b">
        <v>0</v>
      </c>
      <c r="D320" s="182" t="s">
        <v>401</v>
      </c>
      <c r="E320" s="182" t="s">
        <v>476</v>
      </c>
      <c r="F320" s="182" t="s">
        <v>457</v>
      </c>
      <c r="G320" s="189" t="s">
        <v>477</v>
      </c>
      <c r="H320" s="187" t="b">
        <v>0</v>
      </c>
    </row>
    <row r="321" ht="57.0" customHeight="1">
      <c r="A321" s="60" t="s">
        <v>478</v>
      </c>
      <c r="B321" s="61" t="b">
        <v>0</v>
      </c>
      <c r="C321" s="61" t="b">
        <v>0</v>
      </c>
      <c r="D321" s="62" t="s">
        <v>401</v>
      </c>
      <c r="E321" s="62" t="s">
        <v>416</v>
      </c>
      <c r="F321" s="62" t="s">
        <v>457</v>
      </c>
      <c r="G321" s="63"/>
      <c r="H321" s="53" t="b">
        <v>0</v>
      </c>
    </row>
    <row r="322" ht="57.0" customHeight="1">
      <c r="A322" s="180" t="s">
        <v>479</v>
      </c>
      <c r="B322" s="181" t="b">
        <v>0</v>
      </c>
      <c r="C322" s="181" t="b">
        <v>0</v>
      </c>
      <c r="D322" s="182" t="s">
        <v>49</v>
      </c>
      <c r="E322" s="190" t="s">
        <v>480</v>
      </c>
      <c r="F322" s="190" t="s">
        <v>445</v>
      </c>
      <c r="G322" s="186"/>
      <c r="H322" s="187" t="b">
        <v>0</v>
      </c>
      <c r="I322" s="191"/>
      <c r="J322" s="191"/>
    </row>
    <row r="323" ht="57.0" customHeight="1">
      <c r="A323" s="112" t="s">
        <v>481</v>
      </c>
      <c r="B323" s="113" t="b">
        <v>0</v>
      </c>
      <c r="C323" s="113" t="b">
        <v>0</v>
      </c>
      <c r="D323" s="114" t="s">
        <v>425</v>
      </c>
      <c r="E323" s="114" t="s">
        <v>482</v>
      </c>
      <c r="F323" s="114" t="s">
        <v>457</v>
      </c>
      <c r="G323" s="115"/>
      <c r="H323" s="192" t="b">
        <v>0</v>
      </c>
      <c r="I323" s="193"/>
      <c r="J323" s="193"/>
    </row>
    <row r="324" ht="31.5" customHeight="1">
      <c r="A324" s="173" t="str">
        <f> A275</f>
        <v>LEGEND: ⭐= Important / Major Impact | 📺= Series | 🍿= MCU Movie / Special | 🎬= Shortfilm/Oneshot | ⭕= Other Universe (Non-MCU)</v>
      </c>
      <c r="B324" s="174"/>
      <c r="C324" s="174"/>
      <c r="D324" s="174"/>
      <c r="E324" s="174"/>
      <c r="F324" s="174"/>
      <c r="G324" s="175"/>
      <c r="H324" s="125"/>
      <c r="I324" s="126"/>
      <c r="J324" s="126"/>
    </row>
    <row r="325" ht="31.5" customHeight="1">
      <c r="A325" s="127"/>
      <c r="B325" s="127"/>
      <c r="C325" s="127"/>
      <c r="D325" s="127"/>
      <c r="E325" s="127"/>
      <c r="F325" s="127"/>
      <c r="G325" s="127"/>
      <c r="H325" s="125"/>
      <c r="I325" s="126"/>
      <c r="J325" s="126"/>
    </row>
    <row r="326" ht="57.0" customHeight="1">
      <c r="A326" s="194" t="s">
        <v>483</v>
      </c>
      <c r="B326" s="195"/>
      <c r="C326" s="195"/>
      <c r="D326" s="195"/>
      <c r="E326" s="195"/>
      <c r="F326" s="195"/>
      <c r="G326" s="195"/>
      <c r="H326" s="195"/>
      <c r="I326" s="195"/>
      <c r="J326" s="196"/>
    </row>
    <row r="327" ht="57.0" customHeight="1">
      <c r="A327" s="49" t="s">
        <v>484</v>
      </c>
      <c r="B327" s="50" t="b">
        <v>0</v>
      </c>
      <c r="C327" s="50" t="b">
        <v>0</v>
      </c>
      <c r="D327" s="51" t="s">
        <v>401</v>
      </c>
      <c r="E327" s="51" t="s">
        <v>485</v>
      </c>
      <c r="F327" s="51" t="s">
        <v>486</v>
      </c>
      <c r="G327" s="116"/>
      <c r="H327" s="53" t="b">
        <v>0</v>
      </c>
      <c r="I327" s="136" t="s">
        <v>487</v>
      </c>
      <c r="J327" s="58">
        <f>IF(
    COUNTIFS(C327:C472, FALSE, H327:H472, FALSE) = 0,
    0,
    COUNTIFS(B327:B472, TRUE, C327:C472, FALSE, H327:H472, FALSE) /
    COUNTIFS(C327:C472, FALSE, H327:H472, FALSE)
)</f>
        <v>0</v>
      </c>
    </row>
    <row r="328" ht="57.0" customHeight="1">
      <c r="A328" s="180" t="s">
        <v>488</v>
      </c>
      <c r="B328" s="181" t="b">
        <v>0</v>
      </c>
      <c r="C328" s="181" t="b">
        <v>0</v>
      </c>
      <c r="D328" s="182" t="s">
        <v>49</v>
      </c>
      <c r="E328" s="182" t="s">
        <v>489</v>
      </c>
      <c r="F328" s="182" t="s">
        <v>457</v>
      </c>
      <c r="G328" s="183"/>
      <c r="H328" s="187" t="b">
        <v>0</v>
      </c>
      <c r="I328" s="142" t="s">
        <v>490</v>
      </c>
      <c r="J328" s="143">
        <f>COUNTIF(C327:C472, TRUE) - COUNTIFS(C327:C472, TRUE, A327:A472,  " *")</f>
        <v>0</v>
      </c>
    </row>
    <row r="329" ht="57.0" customHeight="1">
      <c r="A329" s="60" t="s">
        <v>491</v>
      </c>
      <c r="B329" s="61" t="b">
        <v>0</v>
      </c>
      <c r="C329" s="61" t="b">
        <v>0</v>
      </c>
      <c r="D329" s="62" t="s">
        <v>401</v>
      </c>
      <c r="E329" s="62" t="s">
        <v>492</v>
      </c>
      <c r="F329" s="62" t="s">
        <v>457</v>
      </c>
      <c r="G329" s="63"/>
      <c r="H329" s="53" t="b">
        <v>0</v>
      </c>
      <c r="I329" s="148" t="s">
        <v>110</v>
      </c>
      <c r="J329" s="98">
        <f>J31</f>
        <v>0</v>
      </c>
    </row>
    <row r="330" ht="57.0" customHeight="1">
      <c r="A330" s="180" t="s">
        <v>493</v>
      </c>
      <c r="B330" s="181" t="b">
        <v>0</v>
      </c>
      <c r="C330" s="181" t="b">
        <v>0</v>
      </c>
      <c r="D330" s="182" t="s">
        <v>49</v>
      </c>
      <c r="E330" s="182" t="s">
        <v>494</v>
      </c>
      <c r="F330" s="182" t="s">
        <v>457</v>
      </c>
      <c r="G330" s="183" t="s">
        <v>495</v>
      </c>
      <c r="H330" s="187" t="b">
        <v>0</v>
      </c>
      <c r="I330" s="197" t="str">
        <f>image("https://static.wikia.nocookie.net/marveldatabase/images/d/d1/Age_of_Ultron_Vol_1_1_Midtown_Comics_Variant.jpg/revision/latest?cb=20130213040202")</f>
        <v>#REF!</v>
      </c>
    </row>
    <row r="331" ht="57.0" customHeight="1">
      <c r="A331" s="60" t="s">
        <v>496</v>
      </c>
      <c r="B331" s="61" t="b">
        <v>0</v>
      </c>
      <c r="C331" s="61" t="b">
        <v>0</v>
      </c>
      <c r="D331" s="62" t="s">
        <v>401</v>
      </c>
      <c r="E331" s="62" t="s">
        <v>456</v>
      </c>
      <c r="F331" s="62" t="s">
        <v>468</v>
      </c>
      <c r="G331" s="63" t="s">
        <v>497</v>
      </c>
      <c r="H331" s="53" t="b">
        <v>0</v>
      </c>
    </row>
    <row r="332" ht="57.0" customHeight="1">
      <c r="A332" s="180" t="s">
        <v>498</v>
      </c>
      <c r="B332" s="181" t="b">
        <v>0</v>
      </c>
      <c r="C332" s="181" t="b">
        <v>0</v>
      </c>
      <c r="D332" s="182" t="s">
        <v>425</v>
      </c>
      <c r="E332" s="182" t="s">
        <v>460</v>
      </c>
      <c r="F332" s="182" t="s">
        <v>457</v>
      </c>
      <c r="G332" s="183"/>
      <c r="H332" s="187" t="b">
        <v>0</v>
      </c>
    </row>
    <row r="333" ht="57.0" customHeight="1" collapsed="1">
      <c r="A333" s="60" t="s">
        <v>499</v>
      </c>
      <c r="B333" s="61" t="b">
        <v>0</v>
      </c>
      <c r="C333" s="61" t="b">
        <v>0</v>
      </c>
      <c r="D333" s="62" t="s">
        <v>500</v>
      </c>
      <c r="E333" s="62" t="s">
        <v>501</v>
      </c>
      <c r="F333" s="62" t="s">
        <v>502</v>
      </c>
      <c r="G333" s="63" t="s">
        <v>503</v>
      </c>
      <c r="H333" s="53" t="b">
        <v>0</v>
      </c>
    </row>
    <row r="334" ht="57.0" hidden="1" customHeight="1" outlineLevel="1">
      <c r="A334" s="60" t="s">
        <v>504</v>
      </c>
      <c r="B334" s="61" t="b">
        <v>0</v>
      </c>
      <c r="C334" s="61" t="b">
        <v>0</v>
      </c>
      <c r="D334" s="62" t="s">
        <v>49</v>
      </c>
      <c r="E334" s="62" t="s">
        <v>432</v>
      </c>
      <c r="F334" s="62" t="s">
        <v>502</v>
      </c>
      <c r="G334" s="63"/>
      <c r="H334" s="53" t="b">
        <v>1</v>
      </c>
    </row>
    <row r="335" ht="57.0" hidden="1" customHeight="1" outlineLevel="1">
      <c r="A335" s="66" t="s">
        <v>505</v>
      </c>
      <c r="B335" s="68" t="b">
        <v>0</v>
      </c>
      <c r="C335" s="68" t="b">
        <v>0</v>
      </c>
      <c r="D335" s="69" t="s">
        <v>49</v>
      </c>
      <c r="E335" s="69" t="s">
        <v>432</v>
      </c>
      <c r="F335" s="69" t="s">
        <v>502</v>
      </c>
      <c r="G335" s="70"/>
      <c r="H335" s="71" t="b">
        <v>1</v>
      </c>
    </row>
    <row r="336" ht="57.0" hidden="1" customHeight="1" outlineLevel="1">
      <c r="A336" s="60" t="s">
        <v>506</v>
      </c>
      <c r="B336" s="61" t="b">
        <v>0</v>
      </c>
      <c r="C336" s="61" t="b">
        <v>0</v>
      </c>
      <c r="D336" s="62" t="s">
        <v>49</v>
      </c>
      <c r="E336" s="62" t="s">
        <v>432</v>
      </c>
      <c r="F336" s="62" t="s">
        <v>502</v>
      </c>
      <c r="G336" s="63"/>
      <c r="H336" s="53" t="b">
        <v>1</v>
      </c>
    </row>
    <row r="337" ht="57.0" hidden="1" customHeight="1" outlineLevel="1">
      <c r="A337" s="66" t="s">
        <v>507</v>
      </c>
      <c r="B337" s="68" t="b">
        <v>0</v>
      </c>
      <c r="C337" s="68" t="b">
        <v>0</v>
      </c>
      <c r="D337" s="69" t="s">
        <v>49</v>
      </c>
      <c r="E337" s="69" t="s">
        <v>432</v>
      </c>
      <c r="F337" s="69" t="s">
        <v>502</v>
      </c>
      <c r="G337" s="70"/>
      <c r="H337" s="71" t="b">
        <v>1</v>
      </c>
    </row>
    <row r="338" ht="57.0" hidden="1" customHeight="1" outlineLevel="1">
      <c r="A338" s="60" t="s">
        <v>508</v>
      </c>
      <c r="B338" s="61" t="b">
        <v>0</v>
      </c>
      <c r="C338" s="61" t="b">
        <v>0</v>
      </c>
      <c r="D338" s="62" t="s">
        <v>49</v>
      </c>
      <c r="E338" s="62" t="s">
        <v>432</v>
      </c>
      <c r="F338" s="62" t="s">
        <v>502</v>
      </c>
      <c r="G338" s="63"/>
      <c r="H338" s="53" t="b">
        <v>1</v>
      </c>
    </row>
    <row r="339" ht="57.0" hidden="1" customHeight="1" outlineLevel="1">
      <c r="A339" s="66" t="s">
        <v>509</v>
      </c>
      <c r="B339" s="68" t="b">
        <v>0</v>
      </c>
      <c r="C339" s="68" t="b">
        <v>0</v>
      </c>
      <c r="D339" s="69" t="s">
        <v>49</v>
      </c>
      <c r="E339" s="69" t="s">
        <v>432</v>
      </c>
      <c r="F339" s="69" t="s">
        <v>502</v>
      </c>
      <c r="G339" s="70"/>
      <c r="H339" s="71" t="b">
        <v>1</v>
      </c>
    </row>
    <row r="340" ht="57.0" hidden="1" customHeight="1" outlineLevel="1">
      <c r="A340" s="60" t="s">
        <v>510</v>
      </c>
      <c r="B340" s="61" t="b">
        <v>0</v>
      </c>
      <c r="C340" s="61" t="b">
        <v>0</v>
      </c>
      <c r="D340" s="62" t="s">
        <v>49</v>
      </c>
      <c r="E340" s="62" t="s">
        <v>432</v>
      </c>
      <c r="F340" s="62" t="s">
        <v>502</v>
      </c>
      <c r="G340" s="63"/>
      <c r="H340" s="53" t="b">
        <v>1</v>
      </c>
    </row>
    <row r="341" ht="57.0" hidden="1" customHeight="1" outlineLevel="1">
      <c r="A341" s="66" t="s">
        <v>511</v>
      </c>
      <c r="B341" s="68" t="b">
        <v>0</v>
      </c>
      <c r="C341" s="68" t="b">
        <v>0</v>
      </c>
      <c r="D341" s="69" t="s">
        <v>49</v>
      </c>
      <c r="E341" s="69" t="s">
        <v>432</v>
      </c>
      <c r="F341" s="69" t="s">
        <v>502</v>
      </c>
      <c r="G341" s="70"/>
      <c r="H341" s="71" t="b">
        <v>1</v>
      </c>
    </row>
    <row r="342" ht="57.0" hidden="1" customHeight="1" outlineLevel="1">
      <c r="A342" s="60" t="s">
        <v>512</v>
      </c>
      <c r="B342" s="61" t="b">
        <v>0</v>
      </c>
      <c r="C342" s="61" t="b">
        <v>0</v>
      </c>
      <c r="D342" s="62" t="s">
        <v>49</v>
      </c>
      <c r="E342" s="62" t="s">
        <v>432</v>
      </c>
      <c r="F342" s="62" t="s">
        <v>502</v>
      </c>
      <c r="G342" s="63"/>
      <c r="H342" s="53" t="b">
        <v>1</v>
      </c>
    </row>
    <row r="343" ht="57.0" hidden="1" customHeight="1" outlineLevel="1">
      <c r="A343" s="66" t="s">
        <v>513</v>
      </c>
      <c r="B343" s="68" t="b">
        <v>0</v>
      </c>
      <c r="C343" s="68" t="b">
        <v>0</v>
      </c>
      <c r="D343" s="69" t="s">
        <v>49</v>
      </c>
      <c r="E343" s="69" t="s">
        <v>432</v>
      </c>
      <c r="F343" s="69" t="s">
        <v>502</v>
      </c>
      <c r="G343" s="70"/>
      <c r="H343" s="71" t="b">
        <v>1</v>
      </c>
    </row>
    <row r="344" ht="57.0" hidden="1" customHeight="1" outlineLevel="1">
      <c r="A344" s="60" t="s">
        <v>514</v>
      </c>
      <c r="B344" s="61" t="b">
        <v>0</v>
      </c>
      <c r="C344" s="61" t="b">
        <v>0</v>
      </c>
      <c r="D344" s="62" t="s">
        <v>49</v>
      </c>
      <c r="E344" s="62" t="s">
        <v>432</v>
      </c>
      <c r="F344" s="62" t="s">
        <v>502</v>
      </c>
      <c r="G344" s="63"/>
      <c r="H344" s="53" t="b">
        <v>1</v>
      </c>
    </row>
    <row r="345" ht="57.0" hidden="1" customHeight="1" outlineLevel="1">
      <c r="A345" s="66" t="s">
        <v>515</v>
      </c>
      <c r="B345" s="68" t="b">
        <v>0</v>
      </c>
      <c r="C345" s="68" t="b">
        <v>0</v>
      </c>
      <c r="D345" s="69" t="s">
        <v>49</v>
      </c>
      <c r="E345" s="69" t="s">
        <v>432</v>
      </c>
      <c r="F345" s="69" t="s">
        <v>502</v>
      </c>
      <c r="G345" s="70"/>
      <c r="H345" s="71" t="b">
        <v>1</v>
      </c>
    </row>
    <row r="346" ht="57.0" hidden="1" customHeight="1" outlineLevel="1">
      <c r="A346" s="60" t="s">
        <v>516</v>
      </c>
      <c r="B346" s="61" t="b">
        <v>0</v>
      </c>
      <c r="C346" s="61" t="b">
        <v>0</v>
      </c>
      <c r="D346" s="62" t="s">
        <v>49</v>
      </c>
      <c r="E346" s="62" t="s">
        <v>432</v>
      </c>
      <c r="F346" s="62" t="s">
        <v>502</v>
      </c>
      <c r="G346" s="63"/>
      <c r="H346" s="53" t="b">
        <v>1</v>
      </c>
    </row>
    <row r="347" ht="57.0" hidden="1" customHeight="1" outlineLevel="1">
      <c r="A347" s="66" t="s">
        <v>517</v>
      </c>
      <c r="B347" s="68" t="b">
        <v>0</v>
      </c>
      <c r="C347" s="68" t="b">
        <v>0</v>
      </c>
      <c r="D347" s="69" t="s">
        <v>49</v>
      </c>
      <c r="E347" s="69" t="s">
        <v>432</v>
      </c>
      <c r="F347" s="69" t="s">
        <v>502</v>
      </c>
      <c r="G347" s="70"/>
      <c r="H347" s="71" t="b">
        <v>1</v>
      </c>
    </row>
    <row r="348" ht="57.0" hidden="1" customHeight="1" outlineLevel="1">
      <c r="A348" s="60" t="s">
        <v>518</v>
      </c>
      <c r="B348" s="61" t="b">
        <v>0</v>
      </c>
      <c r="C348" s="61" t="b">
        <v>0</v>
      </c>
      <c r="D348" s="62" t="s">
        <v>49</v>
      </c>
      <c r="E348" s="62" t="s">
        <v>432</v>
      </c>
      <c r="F348" s="62" t="s">
        <v>502</v>
      </c>
      <c r="G348" s="63"/>
      <c r="H348" s="53" t="b">
        <v>1</v>
      </c>
    </row>
    <row r="349" ht="57.0" hidden="1" customHeight="1" outlineLevel="1">
      <c r="A349" s="66" t="s">
        <v>519</v>
      </c>
      <c r="B349" s="68" t="b">
        <v>0</v>
      </c>
      <c r="C349" s="68" t="b">
        <v>0</v>
      </c>
      <c r="D349" s="69" t="s">
        <v>49</v>
      </c>
      <c r="E349" s="69" t="s">
        <v>432</v>
      </c>
      <c r="F349" s="69" t="s">
        <v>502</v>
      </c>
      <c r="G349" s="198" t="s">
        <v>520</v>
      </c>
      <c r="H349" s="71" t="b">
        <v>1</v>
      </c>
    </row>
    <row r="350" ht="57.0" hidden="1" customHeight="1" outlineLevel="1">
      <c r="A350" s="60" t="s">
        <v>521</v>
      </c>
      <c r="B350" s="61" t="b">
        <v>0</v>
      </c>
      <c r="C350" s="61" t="b">
        <v>0</v>
      </c>
      <c r="D350" s="62" t="s">
        <v>49</v>
      </c>
      <c r="E350" s="62" t="s">
        <v>432</v>
      </c>
      <c r="F350" s="62" t="s">
        <v>502</v>
      </c>
      <c r="G350" s="185" t="s">
        <v>522</v>
      </c>
      <c r="H350" s="53" t="b">
        <v>1</v>
      </c>
    </row>
    <row r="351" ht="57.0" hidden="1" customHeight="1" outlineLevel="1">
      <c r="A351" s="66" t="s">
        <v>523</v>
      </c>
      <c r="B351" s="68" t="b">
        <v>0</v>
      </c>
      <c r="C351" s="68" t="b">
        <v>0</v>
      </c>
      <c r="D351" s="69" t="s">
        <v>49</v>
      </c>
      <c r="E351" s="69" t="s">
        <v>432</v>
      </c>
      <c r="F351" s="69" t="s">
        <v>502</v>
      </c>
      <c r="G351" s="70"/>
      <c r="H351" s="71" t="b">
        <v>1</v>
      </c>
    </row>
    <row r="352" ht="57.0" hidden="1" customHeight="1" outlineLevel="1">
      <c r="A352" s="60" t="s">
        <v>524</v>
      </c>
      <c r="B352" s="61" t="b">
        <v>0</v>
      </c>
      <c r="C352" s="61" t="b">
        <v>0</v>
      </c>
      <c r="D352" s="62" t="s">
        <v>49</v>
      </c>
      <c r="E352" s="62" t="s">
        <v>432</v>
      </c>
      <c r="F352" s="62" t="s">
        <v>502</v>
      </c>
      <c r="G352" s="185"/>
      <c r="H352" s="53" t="b">
        <v>1</v>
      </c>
    </row>
    <row r="353" ht="57.0" hidden="1" customHeight="1" outlineLevel="1">
      <c r="A353" s="66" t="s">
        <v>525</v>
      </c>
      <c r="B353" s="68" t="b">
        <v>0</v>
      </c>
      <c r="C353" s="68" t="b">
        <v>0</v>
      </c>
      <c r="D353" s="69" t="s">
        <v>49</v>
      </c>
      <c r="E353" s="69" t="s">
        <v>432</v>
      </c>
      <c r="F353" s="69" t="s">
        <v>502</v>
      </c>
      <c r="G353" s="70"/>
      <c r="H353" s="71" t="b">
        <v>1</v>
      </c>
    </row>
    <row r="354" ht="57.0" hidden="1" customHeight="1" outlineLevel="1">
      <c r="A354" s="60" t="s">
        <v>526</v>
      </c>
      <c r="B354" s="61" t="b">
        <v>0</v>
      </c>
      <c r="C354" s="61" t="b">
        <v>0</v>
      </c>
      <c r="D354" s="62" t="s">
        <v>49</v>
      </c>
      <c r="E354" s="62" t="s">
        <v>432</v>
      </c>
      <c r="F354" s="62" t="s">
        <v>502</v>
      </c>
      <c r="G354" s="63"/>
      <c r="H354" s="53" t="b">
        <v>1</v>
      </c>
    </row>
    <row r="355" ht="57.0" hidden="1" customHeight="1" outlineLevel="1">
      <c r="A355" s="66" t="s">
        <v>527</v>
      </c>
      <c r="B355" s="68" t="b">
        <v>0</v>
      </c>
      <c r="C355" s="68" t="b">
        <v>0</v>
      </c>
      <c r="D355" s="69" t="s">
        <v>401</v>
      </c>
      <c r="E355" s="69" t="s">
        <v>432</v>
      </c>
      <c r="F355" s="69" t="s">
        <v>502</v>
      </c>
      <c r="G355" s="70"/>
      <c r="H355" s="71" t="b">
        <v>1</v>
      </c>
    </row>
    <row r="356" ht="57.0" customHeight="1">
      <c r="A356" s="180" t="s">
        <v>528</v>
      </c>
      <c r="B356" s="181" t="b">
        <v>0</v>
      </c>
      <c r="C356" s="181" t="b">
        <v>0</v>
      </c>
      <c r="D356" s="182" t="s">
        <v>425</v>
      </c>
      <c r="E356" s="182" t="s">
        <v>485</v>
      </c>
      <c r="F356" s="182" t="s">
        <v>457</v>
      </c>
      <c r="G356" s="183"/>
      <c r="H356" s="187"/>
    </row>
    <row r="357" ht="57.0" customHeight="1">
      <c r="A357" s="60" t="s">
        <v>529</v>
      </c>
      <c r="B357" s="61" t="b">
        <v>0</v>
      </c>
      <c r="C357" s="61" t="b">
        <v>0</v>
      </c>
      <c r="D357" s="62" t="s">
        <v>401</v>
      </c>
      <c r="E357" s="62" t="s">
        <v>530</v>
      </c>
      <c r="F357" s="62" t="s">
        <v>486</v>
      </c>
      <c r="G357" s="63"/>
      <c r="H357" s="53" t="b">
        <v>0</v>
      </c>
    </row>
    <row r="358" ht="57.0" customHeight="1">
      <c r="A358" s="180" t="s">
        <v>531</v>
      </c>
      <c r="B358" s="181" t="b">
        <v>0</v>
      </c>
      <c r="C358" s="181" t="b">
        <v>0</v>
      </c>
      <c r="D358" s="182" t="s">
        <v>425</v>
      </c>
      <c r="E358" s="182" t="s">
        <v>471</v>
      </c>
      <c r="F358" s="182" t="s">
        <v>532</v>
      </c>
      <c r="G358" s="183" t="s">
        <v>533</v>
      </c>
      <c r="H358" s="187" t="b">
        <v>0</v>
      </c>
      <c r="I358" s="193"/>
      <c r="J358" s="193"/>
    </row>
    <row r="359" ht="57.0" customHeight="1">
      <c r="A359" s="60" t="s">
        <v>534</v>
      </c>
      <c r="B359" s="61" t="b">
        <v>0</v>
      </c>
      <c r="C359" s="61" t="b">
        <v>0</v>
      </c>
      <c r="D359" s="62" t="s">
        <v>425</v>
      </c>
      <c r="E359" s="62" t="s">
        <v>398</v>
      </c>
      <c r="F359" s="62" t="s">
        <v>457</v>
      </c>
      <c r="G359" s="63"/>
      <c r="H359" s="53" t="b">
        <v>0</v>
      </c>
      <c r="I359" s="193"/>
      <c r="J359" s="193"/>
    </row>
    <row r="360" ht="57.0" customHeight="1" collapsed="1">
      <c r="A360" s="180" t="s">
        <v>535</v>
      </c>
      <c r="B360" s="181" t="b">
        <v>0</v>
      </c>
      <c r="C360" s="181" t="b">
        <v>0</v>
      </c>
      <c r="D360" s="182" t="s">
        <v>536</v>
      </c>
      <c r="E360" s="182" t="s">
        <v>537</v>
      </c>
      <c r="F360" s="182" t="s">
        <v>502</v>
      </c>
      <c r="G360" s="183"/>
      <c r="H360" s="187" t="b">
        <v>0</v>
      </c>
      <c r="I360" s="193"/>
      <c r="J360" s="193"/>
    </row>
    <row r="361" ht="57.0" hidden="1" customHeight="1" outlineLevel="1">
      <c r="A361" s="60" t="s">
        <v>538</v>
      </c>
      <c r="B361" s="61" t="b">
        <v>0</v>
      </c>
      <c r="C361" s="61" t="b">
        <v>0</v>
      </c>
      <c r="D361" s="62" t="s">
        <v>49</v>
      </c>
      <c r="E361" s="62" t="s">
        <v>539</v>
      </c>
      <c r="F361" s="62" t="s">
        <v>502</v>
      </c>
      <c r="G361" s="63"/>
      <c r="H361" s="53" t="b">
        <v>1</v>
      </c>
      <c r="I361" s="193"/>
      <c r="J361" s="193"/>
    </row>
    <row r="362" ht="57.0" hidden="1" customHeight="1" outlineLevel="1">
      <c r="A362" s="66" t="s">
        <v>540</v>
      </c>
      <c r="B362" s="68" t="b">
        <v>0</v>
      </c>
      <c r="C362" s="68" t="b">
        <v>0</v>
      </c>
      <c r="D362" s="69" t="s">
        <v>49</v>
      </c>
      <c r="E362" s="69" t="s">
        <v>539</v>
      </c>
      <c r="F362" s="69" t="s">
        <v>502</v>
      </c>
      <c r="G362" s="70"/>
      <c r="H362" s="71" t="b">
        <v>1</v>
      </c>
      <c r="I362" s="193"/>
      <c r="J362" s="193"/>
    </row>
    <row r="363" ht="57.0" hidden="1" customHeight="1" outlineLevel="1">
      <c r="A363" s="60" t="s">
        <v>541</v>
      </c>
      <c r="B363" s="61" t="b">
        <v>0</v>
      </c>
      <c r="C363" s="61" t="b">
        <v>0</v>
      </c>
      <c r="D363" s="62" t="s">
        <v>49</v>
      </c>
      <c r="E363" s="62" t="s">
        <v>539</v>
      </c>
      <c r="F363" s="62" t="s">
        <v>502</v>
      </c>
      <c r="G363" s="63"/>
      <c r="H363" s="53" t="b">
        <v>1</v>
      </c>
      <c r="I363" s="193"/>
      <c r="J363" s="193"/>
    </row>
    <row r="364" ht="57.0" hidden="1" customHeight="1" outlineLevel="1">
      <c r="A364" s="66" t="s">
        <v>542</v>
      </c>
      <c r="B364" s="68" t="b">
        <v>0</v>
      </c>
      <c r="C364" s="68" t="b">
        <v>0</v>
      </c>
      <c r="D364" s="69" t="s">
        <v>49</v>
      </c>
      <c r="E364" s="69" t="s">
        <v>539</v>
      </c>
      <c r="F364" s="69" t="s">
        <v>502</v>
      </c>
      <c r="G364" s="70"/>
      <c r="H364" s="71" t="b">
        <v>1</v>
      </c>
      <c r="I364" s="193"/>
      <c r="J364" s="193"/>
    </row>
    <row r="365" ht="57.0" hidden="1" customHeight="1" outlineLevel="1">
      <c r="A365" s="60" t="s">
        <v>543</v>
      </c>
      <c r="B365" s="61" t="b">
        <v>0</v>
      </c>
      <c r="C365" s="61" t="b">
        <v>0</v>
      </c>
      <c r="D365" s="62" t="s">
        <v>49</v>
      </c>
      <c r="E365" s="62" t="s">
        <v>539</v>
      </c>
      <c r="F365" s="62" t="s">
        <v>502</v>
      </c>
      <c r="G365" s="63"/>
      <c r="H365" s="53" t="b">
        <v>1</v>
      </c>
      <c r="I365" s="193"/>
      <c r="J365" s="193"/>
    </row>
    <row r="366" ht="57.0" hidden="1" customHeight="1" outlineLevel="1">
      <c r="A366" s="66" t="s">
        <v>544</v>
      </c>
      <c r="B366" s="68" t="b">
        <v>0</v>
      </c>
      <c r="C366" s="68" t="b">
        <v>0</v>
      </c>
      <c r="D366" s="69" t="s">
        <v>49</v>
      </c>
      <c r="E366" s="69" t="s">
        <v>539</v>
      </c>
      <c r="F366" s="69" t="s">
        <v>502</v>
      </c>
      <c r="G366" s="70"/>
      <c r="H366" s="71" t="b">
        <v>1</v>
      </c>
      <c r="I366" s="193"/>
      <c r="J366" s="193"/>
    </row>
    <row r="367" ht="57.0" hidden="1" customHeight="1" outlineLevel="1">
      <c r="A367" s="60" t="s">
        <v>545</v>
      </c>
      <c r="B367" s="61" t="b">
        <v>0</v>
      </c>
      <c r="C367" s="61" t="b">
        <v>0</v>
      </c>
      <c r="D367" s="62" t="s">
        <v>49</v>
      </c>
      <c r="E367" s="62" t="s">
        <v>539</v>
      </c>
      <c r="F367" s="62" t="s">
        <v>502</v>
      </c>
      <c r="G367" s="63"/>
      <c r="H367" s="53" t="b">
        <v>1</v>
      </c>
      <c r="I367" s="193"/>
      <c r="J367" s="193"/>
    </row>
    <row r="368" ht="57.0" hidden="1" customHeight="1" outlineLevel="1">
      <c r="A368" s="66" t="s">
        <v>546</v>
      </c>
      <c r="B368" s="68" t="b">
        <v>0</v>
      </c>
      <c r="C368" s="68" t="b">
        <v>0</v>
      </c>
      <c r="D368" s="69" t="s">
        <v>49</v>
      </c>
      <c r="E368" s="69" t="s">
        <v>539</v>
      </c>
      <c r="F368" s="69" t="s">
        <v>502</v>
      </c>
      <c r="G368" s="70"/>
      <c r="H368" s="71" t="b">
        <v>1</v>
      </c>
      <c r="I368" s="193"/>
      <c r="J368" s="193"/>
    </row>
    <row r="369" ht="57.0" hidden="1" customHeight="1" outlineLevel="1">
      <c r="A369" s="60" t="s">
        <v>547</v>
      </c>
      <c r="B369" s="61" t="b">
        <v>0</v>
      </c>
      <c r="C369" s="61" t="b">
        <v>0</v>
      </c>
      <c r="D369" s="62" t="s">
        <v>49</v>
      </c>
      <c r="E369" s="62" t="s">
        <v>539</v>
      </c>
      <c r="F369" s="62" t="s">
        <v>502</v>
      </c>
      <c r="G369" s="63"/>
      <c r="H369" s="53" t="b">
        <v>1</v>
      </c>
      <c r="I369" s="193"/>
      <c r="J369" s="193"/>
    </row>
    <row r="370" ht="57.0" hidden="1" customHeight="1" outlineLevel="1">
      <c r="A370" s="66" t="s">
        <v>548</v>
      </c>
      <c r="B370" s="68" t="b">
        <v>0</v>
      </c>
      <c r="C370" s="68" t="b">
        <v>0</v>
      </c>
      <c r="D370" s="69" t="s">
        <v>401</v>
      </c>
      <c r="E370" s="69" t="s">
        <v>539</v>
      </c>
      <c r="F370" s="69" t="s">
        <v>502</v>
      </c>
      <c r="G370" s="70"/>
      <c r="H370" s="71" t="b">
        <v>1</v>
      </c>
      <c r="I370" s="193"/>
      <c r="J370" s="193"/>
    </row>
    <row r="371" ht="57.0" hidden="1" customHeight="1" outlineLevel="1">
      <c r="A371" s="60" t="s">
        <v>549</v>
      </c>
      <c r="B371" s="61" t="b">
        <v>0</v>
      </c>
      <c r="C371" s="61" t="b">
        <v>0</v>
      </c>
      <c r="D371" s="62" t="s">
        <v>49</v>
      </c>
      <c r="E371" s="62" t="s">
        <v>539</v>
      </c>
      <c r="F371" s="62" t="s">
        <v>502</v>
      </c>
      <c r="G371" s="63"/>
      <c r="H371" s="53" t="b">
        <v>1</v>
      </c>
      <c r="I371" s="193"/>
      <c r="J371" s="193"/>
    </row>
    <row r="372" ht="57.0" hidden="1" customHeight="1" outlineLevel="1">
      <c r="A372" s="66" t="s">
        <v>550</v>
      </c>
      <c r="B372" s="68" t="b">
        <v>0</v>
      </c>
      <c r="C372" s="68" t="b">
        <v>0</v>
      </c>
      <c r="D372" s="69" t="s">
        <v>49</v>
      </c>
      <c r="E372" s="69" t="s">
        <v>551</v>
      </c>
      <c r="F372" s="69" t="s">
        <v>502</v>
      </c>
      <c r="G372" s="70"/>
      <c r="H372" s="71" t="b">
        <v>1</v>
      </c>
      <c r="I372" s="193"/>
      <c r="J372" s="193"/>
    </row>
    <row r="373" ht="57.0" hidden="1" customHeight="1" outlineLevel="1">
      <c r="A373" s="60" t="s">
        <v>552</v>
      </c>
      <c r="B373" s="61" t="b">
        <v>0</v>
      </c>
      <c r="C373" s="61" t="b">
        <v>0</v>
      </c>
      <c r="D373" s="62" t="s">
        <v>49</v>
      </c>
      <c r="E373" s="62" t="s">
        <v>539</v>
      </c>
      <c r="F373" s="62" t="s">
        <v>502</v>
      </c>
      <c r="G373" s="63"/>
      <c r="H373" s="53" t="b">
        <v>1</v>
      </c>
      <c r="I373" s="193"/>
      <c r="J373" s="193"/>
    </row>
    <row r="374" ht="57.0" hidden="1" customHeight="1" outlineLevel="1">
      <c r="A374" s="66" t="s">
        <v>553</v>
      </c>
      <c r="B374" s="68" t="b">
        <v>0</v>
      </c>
      <c r="C374" s="68" t="b">
        <v>0</v>
      </c>
      <c r="D374" s="69" t="s">
        <v>49</v>
      </c>
      <c r="E374" s="69" t="s">
        <v>539</v>
      </c>
      <c r="F374" s="69" t="s">
        <v>502</v>
      </c>
      <c r="G374" s="70"/>
      <c r="H374" s="71" t="b">
        <v>1</v>
      </c>
      <c r="I374" s="193"/>
      <c r="J374" s="193"/>
    </row>
    <row r="375" ht="57.0" hidden="1" customHeight="1" outlineLevel="1">
      <c r="A375" s="60" t="s">
        <v>554</v>
      </c>
      <c r="B375" s="61" t="b">
        <v>0</v>
      </c>
      <c r="C375" s="61" t="b">
        <v>0</v>
      </c>
      <c r="D375" s="62" t="s">
        <v>49</v>
      </c>
      <c r="E375" s="62" t="s">
        <v>539</v>
      </c>
      <c r="F375" s="62" t="s">
        <v>502</v>
      </c>
      <c r="G375" s="63"/>
      <c r="H375" s="53" t="b">
        <v>1</v>
      </c>
      <c r="I375" s="193"/>
      <c r="J375" s="193"/>
    </row>
    <row r="376" ht="57.0" hidden="1" customHeight="1" outlineLevel="1">
      <c r="A376" s="66" t="s">
        <v>555</v>
      </c>
      <c r="B376" s="68" t="b">
        <v>0</v>
      </c>
      <c r="C376" s="68" t="b">
        <v>0</v>
      </c>
      <c r="D376" s="69" t="s">
        <v>49</v>
      </c>
      <c r="E376" s="69" t="s">
        <v>539</v>
      </c>
      <c r="F376" s="69" t="s">
        <v>502</v>
      </c>
      <c r="G376" s="70"/>
      <c r="H376" s="71" t="b">
        <v>1</v>
      </c>
      <c r="I376" s="193"/>
      <c r="J376" s="193"/>
    </row>
    <row r="377" ht="57.0" hidden="1" customHeight="1" outlineLevel="1">
      <c r="A377" s="60" t="s">
        <v>556</v>
      </c>
      <c r="B377" s="61" t="b">
        <v>0</v>
      </c>
      <c r="C377" s="61" t="b">
        <v>0</v>
      </c>
      <c r="D377" s="62" t="s">
        <v>49</v>
      </c>
      <c r="E377" s="62" t="s">
        <v>539</v>
      </c>
      <c r="F377" s="62" t="s">
        <v>502</v>
      </c>
      <c r="G377" s="63"/>
      <c r="H377" s="53" t="b">
        <v>1</v>
      </c>
      <c r="I377" s="193"/>
      <c r="J377" s="193"/>
    </row>
    <row r="378" ht="57.0" hidden="1" customHeight="1" outlineLevel="1">
      <c r="A378" s="66" t="s">
        <v>557</v>
      </c>
      <c r="B378" s="68" t="b">
        <v>0</v>
      </c>
      <c r="C378" s="68" t="b">
        <v>0</v>
      </c>
      <c r="D378" s="69" t="s">
        <v>49</v>
      </c>
      <c r="E378" s="69" t="s">
        <v>539</v>
      </c>
      <c r="F378" s="69" t="s">
        <v>502</v>
      </c>
      <c r="G378" s="70"/>
      <c r="H378" s="71" t="b">
        <v>1</v>
      </c>
      <c r="I378" s="193"/>
      <c r="J378" s="193"/>
    </row>
    <row r="379" ht="57.0" hidden="1" customHeight="1" outlineLevel="1">
      <c r="A379" s="60" t="s">
        <v>558</v>
      </c>
      <c r="B379" s="61" t="b">
        <v>0</v>
      </c>
      <c r="C379" s="61" t="b">
        <v>0</v>
      </c>
      <c r="D379" s="62" t="s">
        <v>49</v>
      </c>
      <c r="E379" s="62" t="s">
        <v>539</v>
      </c>
      <c r="F379" s="62" t="s">
        <v>502</v>
      </c>
      <c r="G379" s="185" t="s">
        <v>559</v>
      </c>
      <c r="H379" s="53" t="b">
        <v>1</v>
      </c>
      <c r="I379" s="193"/>
      <c r="J379" s="193"/>
    </row>
    <row r="380" ht="57.0" hidden="1" customHeight="1" outlineLevel="1">
      <c r="A380" s="66" t="s">
        <v>560</v>
      </c>
      <c r="B380" s="68" t="b">
        <v>0</v>
      </c>
      <c r="C380" s="68" t="b">
        <v>0</v>
      </c>
      <c r="D380" s="69" t="s">
        <v>49</v>
      </c>
      <c r="E380" s="69" t="s">
        <v>539</v>
      </c>
      <c r="F380" s="69" t="s">
        <v>502</v>
      </c>
      <c r="G380" s="198" t="s">
        <v>561</v>
      </c>
      <c r="H380" s="71" t="b">
        <v>1</v>
      </c>
      <c r="I380" s="193"/>
      <c r="J380" s="193"/>
    </row>
    <row r="381" ht="57.0" hidden="1" customHeight="1" outlineLevel="1">
      <c r="A381" s="60" t="s">
        <v>562</v>
      </c>
      <c r="B381" s="61" t="b">
        <v>0</v>
      </c>
      <c r="C381" s="61" t="b">
        <v>0</v>
      </c>
      <c r="D381" s="62" t="s">
        <v>49</v>
      </c>
      <c r="E381" s="62" t="s">
        <v>539</v>
      </c>
      <c r="F381" s="62" t="s">
        <v>502</v>
      </c>
      <c r="G381" s="63"/>
      <c r="H381" s="53" t="b">
        <v>1</v>
      </c>
      <c r="I381" s="193"/>
      <c r="J381" s="193"/>
    </row>
    <row r="382" ht="57.0" hidden="1" customHeight="1" outlineLevel="1">
      <c r="A382" s="66" t="s">
        <v>563</v>
      </c>
      <c r="B382" s="68" t="b">
        <v>0</v>
      </c>
      <c r="C382" s="68" t="b">
        <v>0</v>
      </c>
      <c r="D382" s="69" t="s">
        <v>401</v>
      </c>
      <c r="E382" s="69" t="s">
        <v>539</v>
      </c>
      <c r="F382" s="69" t="s">
        <v>502</v>
      </c>
      <c r="G382" s="70"/>
      <c r="H382" s="71" t="b">
        <v>1</v>
      </c>
      <c r="I382" s="193"/>
      <c r="J382" s="193"/>
    </row>
    <row r="383" ht="57.0" customHeight="1">
      <c r="A383" s="60" t="s">
        <v>564</v>
      </c>
      <c r="B383" s="61" t="b">
        <v>0</v>
      </c>
      <c r="C383" s="61" t="b">
        <v>0</v>
      </c>
      <c r="D383" s="62" t="s">
        <v>49</v>
      </c>
      <c r="E383" s="62" t="s">
        <v>565</v>
      </c>
      <c r="F383" s="62" t="s">
        <v>457</v>
      </c>
      <c r="G383" s="63" t="s">
        <v>566</v>
      </c>
      <c r="H383" s="53" t="b">
        <v>0</v>
      </c>
      <c r="I383" s="193"/>
      <c r="J383" s="193"/>
    </row>
    <row r="384" ht="57.0" customHeight="1" collapsed="1">
      <c r="A384" s="180" t="s">
        <v>567</v>
      </c>
      <c r="B384" s="181" t="b">
        <v>0</v>
      </c>
      <c r="C384" s="181" t="b">
        <v>0</v>
      </c>
      <c r="D384" s="182" t="s">
        <v>568</v>
      </c>
      <c r="E384" s="182" t="s">
        <v>569</v>
      </c>
      <c r="F384" s="182" t="s">
        <v>457</v>
      </c>
      <c r="G384" s="183"/>
      <c r="H384" s="187" t="b">
        <v>0</v>
      </c>
      <c r="I384" s="193"/>
      <c r="J384" s="193"/>
    </row>
    <row r="385" ht="57.0" hidden="1" customHeight="1" outlineLevel="1">
      <c r="A385" s="60" t="s">
        <v>570</v>
      </c>
      <c r="B385" s="61" t="b">
        <v>0</v>
      </c>
      <c r="C385" s="61" t="b">
        <v>0</v>
      </c>
      <c r="D385" s="62" t="s">
        <v>49</v>
      </c>
      <c r="E385" s="62" t="s">
        <v>571</v>
      </c>
      <c r="F385" s="62" t="s">
        <v>457</v>
      </c>
      <c r="G385" s="63"/>
      <c r="H385" s="53" t="b">
        <v>1</v>
      </c>
      <c r="I385" s="193"/>
      <c r="J385" s="193"/>
    </row>
    <row r="386" ht="57.0" hidden="1" customHeight="1" outlineLevel="1">
      <c r="A386" s="66" t="s">
        <v>572</v>
      </c>
      <c r="B386" s="68" t="b">
        <v>0</v>
      </c>
      <c r="C386" s="68" t="b">
        <v>0</v>
      </c>
      <c r="D386" s="69" t="s">
        <v>49</v>
      </c>
      <c r="E386" s="69" t="s">
        <v>573</v>
      </c>
      <c r="F386" s="69" t="s">
        <v>457</v>
      </c>
      <c r="G386" s="70"/>
      <c r="H386" s="71" t="b">
        <v>1</v>
      </c>
      <c r="I386" s="193"/>
      <c r="J386" s="193"/>
    </row>
    <row r="387" ht="57.0" hidden="1" customHeight="1" outlineLevel="1">
      <c r="A387" s="60" t="s">
        <v>574</v>
      </c>
      <c r="B387" s="61" t="b">
        <v>0</v>
      </c>
      <c r="C387" s="61" t="b">
        <v>0</v>
      </c>
      <c r="D387" s="62" t="s">
        <v>49</v>
      </c>
      <c r="E387" s="62" t="s">
        <v>573</v>
      </c>
      <c r="F387" s="62" t="s">
        <v>457</v>
      </c>
      <c r="G387" s="63"/>
      <c r="H387" s="53" t="b">
        <v>1</v>
      </c>
      <c r="I387" s="193"/>
      <c r="J387" s="193"/>
    </row>
    <row r="388" ht="57.0" hidden="1" customHeight="1" outlineLevel="1">
      <c r="A388" s="66" t="s">
        <v>575</v>
      </c>
      <c r="B388" s="68" t="b">
        <v>0</v>
      </c>
      <c r="C388" s="68" t="b">
        <v>0</v>
      </c>
      <c r="D388" s="69" t="s">
        <v>49</v>
      </c>
      <c r="E388" s="69" t="s">
        <v>551</v>
      </c>
      <c r="F388" s="69" t="s">
        <v>457</v>
      </c>
      <c r="G388" s="70"/>
      <c r="H388" s="71" t="b">
        <v>1</v>
      </c>
      <c r="I388" s="193"/>
      <c r="J388" s="193"/>
    </row>
    <row r="389" ht="57.0" hidden="1" customHeight="1" outlineLevel="1">
      <c r="A389" s="60" t="s">
        <v>576</v>
      </c>
      <c r="B389" s="61" t="b">
        <v>0</v>
      </c>
      <c r="C389" s="61" t="b">
        <v>0</v>
      </c>
      <c r="D389" s="62" t="s">
        <v>49</v>
      </c>
      <c r="E389" s="62" t="s">
        <v>551</v>
      </c>
      <c r="F389" s="62" t="s">
        <v>457</v>
      </c>
      <c r="G389" s="63"/>
      <c r="H389" s="53" t="b">
        <v>1</v>
      </c>
      <c r="I389" s="193"/>
      <c r="J389" s="193"/>
    </row>
    <row r="390" ht="57.0" hidden="1" customHeight="1" outlineLevel="1">
      <c r="A390" s="66" t="s">
        <v>577</v>
      </c>
      <c r="B390" s="68" t="b">
        <v>0</v>
      </c>
      <c r="C390" s="68" t="b">
        <v>0</v>
      </c>
      <c r="D390" s="69" t="s">
        <v>49</v>
      </c>
      <c r="E390" s="69" t="s">
        <v>551</v>
      </c>
      <c r="F390" s="69" t="s">
        <v>457</v>
      </c>
      <c r="G390" s="70"/>
      <c r="H390" s="71" t="b">
        <v>1</v>
      </c>
      <c r="I390" s="193"/>
      <c r="J390" s="193"/>
    </row>
    <row r="391" ht="57.0" hidden="1" customHeight="1" outlineLevel="1">
      <c r="A391" s="60" t="s">
        <v>578</v>
      </c>
      <c r="B391" s="61" t="b">
        <v>0</v>
      </c>
      <c r="C391" s="61" t="b">
        <v>0</v>
      </c>
      <c r="D391" s="62" t="s">
        <v>49</v>
      </c>
      <c r="E391" s="62" t="s">
        <v>539</v>
      </c>
      <c r="F391" s="62" t="s">
        <v>457</v>
      </c>
      <c r="G391" s="63"/>
      <c r="H391" s="53" t="b">
        <v>1</v>
      </c>
      <c r="I391" s="193"/>
      <c r="J391" s="193"/>
    </row>
    <row r="392" ht="57.0" hidden="1" customHeight="1" outlineLevel="1">
      <c r="A392" s="66" t="s">
        <v>579</v>
      </c>
      <c r="B392" s="68" t="b">
        <v>0</v>
      </c>
      <c r="C392" s="68" t="b">
        <v>0</v>
      </c>
      <c r="D392" s="69" t="s">
        <v>401</v>
      </c>
      <c r="E392" s="69" t="s">
        <v>551</v>
      </c>
      <c r="F392" s="69" t="s">
        <v>457</v>
      </c>
      <c r="G392" s="70"/>
      <c r="H392" s="71" t="b">
        <v>1</v>
      </c>
      <c r="I392" s="193"/>
      <c r="J392" s="193"/>
    </row>
    <row r="393" ht="57.0" customHeight="1" collapsed="1">
      <c r="A393" s="60" t="s">
        <v>580</v>
      </c>
      <c r="B393" s="61" t="b">
        <v>0</v>
      </c>
      <c r="C393" s="61" t="b">
        <v>0</v>
      </c>
      <c r="D393" s="62" t="s">
        <v>49</v>
      </c>
      <c r="E393" s="62" t="s">
        <v>581</v>
      </c>
      <c r="F393" s="62" t="s">
        <v>582</v>
      </c>
      <c r="G393" s="63" t="s">
        <v>583</v>
      </c>
      <c r="H393" s="53" t="b">
        <v>0</v>
      </c>
      <c r="I393" s="193"/>
      <c r="J393" s="193"/>
    </row>
    <row r="394" ht="57.0" hidden="1" customHeight="1" outlineLevel="1">
      <c r="A394" s="199" t="s">
        <v>584</v>
      </c>
      <c r="B394" s="61" t="b">
        <v>0</v>
      </c>
      <c r="C394" s="61" t="b">
        <v>0</v>
      </c>
      <c r="D394" s="200" t="s">
        <v>49</v>
      </c>
      <c r="E394" s="62" t="s">
        <v>585</v>
      </c>
      <c r="F394" s="62" t="s">
        <v>582</v>
      </c>
      <c r="G394" s="201"/>
      <c r="H394" s="53" t="b">
        <v>1</v>
      </c>
      <c r="I394" s="193"/>
      <c r="J394" s="193"/>
    </row>
    <row r="395" ht="57.0" hidden="1" customHeight="1" outlineLevel="1">
      <c r="A395" s="202" t="s">
        <v>586</v>
      </c>
      <c r="B395" s="68" t="b">
        <v>0</v>
      </c>
      <c r="C395" s="68" t="b">
        <v>0</v>
      </c>
      <c r="D395" s="203" t="s">
        <v>49</v>
      </c>
      <c r="E395" s="69" t="s">
        <v>585</v>
      </c>
      <c r="F395" s="69" t="s">
        <v>582</v>
      </c>
      <c r="G395" s="204"/>
      <c r="H395" s="71" t="b">
        <v>1</v>
      </c>
      <c r="I395" s="193"/>
      <c r="J395" s="193"/>
    </row>
    <row r="396" ht="57.0" hidden="1" customHeight="1" outlineLevel="1">
      <c r="A396" s="199" t="s">
        <v>587</v>
      </c>
      <c r="B396" s="61" t="b">
        <v>0</v>
      </c>
      <c r="C396" s="61" t="b">
        <v>0</v>
      </c>
      <c r="D396" s="200" t="s">
        <v>49</v>
      </c>
      <c r="E396" s="62" t="s">
        <v>588</v>
      </c>
      <c r="F396" s="62" t="s">
        <v>582</v>
      </c>
      <c r="G396" s="201"/>
      <c r="H396" s="53" t="b">
        <v>1</v>
      </c>
      <c r="I396" s="193"/>
      <c r="J396" s="193"/>
    </row>
    <row r="397" ht="57.0" hidden="1" customHeight="1" outlineLevel="1">
      <c r="A397" s="202" t="s">
        <v>589</v>
      </c>
      <c r="B397" s="68" t="b">
        <v>0</v>
      </c>
      <c r="C397" s="68" t="b">
        <v>0</v>
      </c>
      <c r="D397" s="203" t="s">
        <v>49</v>
      </c>
      <c r="E397" s="69" t="s">
        <v>588</v>
      </c>
      <c r="F397" s="69" t="s">
        <v>582</v>
      </c>
      <c r="G397" s="204"/>
      <c r="H397" s="71" t="b">
        <v>1</v>
      </c>
      <c r="I397" s="193"/>
      <c r="J397" s="193"/>
    </row>
    <row r="398" ht="57.0" hidden="1" customHeight="1" outlineLevel="1">
      <c r="A398" s="199" t="s">
        <v>590</v>
      </c>
      <c r="B398" s="61" t="b">
        <v>0</v>
      </c>
      <c r="C398" s="61" t="b">
        <v>0</v>
      </c>
      <c r="D398" s="200" t="s">
        <v>49</v>
      </c>
      <c r="E398" s="62" t="s">
        <v>591</v>
      </c>
      <c r="F398" s="62" t="s">
        <v>582</v>
      </c>
      <c r="G398" s="201"/>
      <c r="H398" s="53" t="b">
        <v>1</v>
      </c>
      <c r="I398" s="193"/>
      <c r="J398" s="193"/>
    </row>
    <row r="399" ht="57.0" hidden="1" customHeight="1" outlineLevel="1">
      <c r="A399" s="202" t="s">
        <v>592</v>
      </c>
      <c r="B399" s="68" t="b">
        <v>0</v>
      </c>
      <c r="C399" s="68" t="b">
        <v>0</v>
      </c>
      <c r="D399" s="203" t="s">
        <v>49</v>
      </c>
      <c r="E399" s="69" t="s">
        <v>593</v>
      </c>
      <c r="F399" s="69" t="s">
        <v>582</v>
      </c>
      <c r="G399" s="204"/>
      <c r="H399" s="71" t="b">
        <v>1</v>
      </c>
      <c r="I399" s="193"/>
      <c r="J399" s="193"/>
    </row>
    <row r="400" ht="57.0" hidden="1" customHeight="1" outlineLevel="1">
      <c r="A400" s="205" t="s">
        <v>594</v>
      </c>
      <c r="B400" s="61" t="b">
        <v>0</v>
      </c>
      <c r="C400" s="61" t="b">
        <v>0</v>
      </c>
      <c r="D400" s="200" t="s">
        <v>49</v>
      </c>
      <c r="E400" s="62" t="s">
        <v>595</v>
      </c>
      <c r="F400" s="62" t="s">
        <v>582</v>
      </c>
      <c r="G400" s="201"/>
      <c r="H400" s="53" t="b">
        <v>1</v>
      </c>
      <c r="I400" s="193"/>
      <c r="J400" s="193"/>
    </row>
    <row r="401" ht="57.0" hidden="1" customHeight="1" outlineLevel="1">
      <c r="A401" s="206" t="s">
        <v>596</v>
      </c>
      <c r="B401" s="68" t="b">
        <v>0</v>
      </c>
      <c r="C401" s="68" t="b">
        <v>0</v>
      </c>
      <c r="D401" s="203" t="s">
        <v>49</v>
      </c>
      <c r="E401" s="69" t="s">
        <v>585</v>
      </c>
      <c r="F401" s="69" t="s">
        <v>582</v>
      </c>
      <c r="G401" s="204"/>
      <c r="H401" s="71" t="b">
        <v>1</v>
      </c>
      <c r="I401" s="193"/>
      <c r="J401" s="193"/>
    </row>
    <row r="402" ht="57.0" hidden="1" customHeight="1" outlineLevel="1">
      <c r="A402" s="205" t="s">
        <v>597</v>
      </c>
      <c r="B402" s="61" t="b">
        <v>0</v>
      </c>
      <c r="C402" s="61" t="b">
        <v>0</v>
      </c>
      <c r="D402" s="200" t="s">
        <v>49</v>
      </c>
      <c r="E402" s="62" t="s">
        <v>598</v>
      </c>
      <c r="F402" s="62" t="s">
        <v>582</v>
      </c>
      <c r="G402" s="201"/>
      <c r="H402" s="53" t="b">
        <v>1</v>
      </c>
      <c r="I402" s="193"/>
      <c r="J402" s="193"/>
    </row>
    <row r="403" ht="57.0" hidden="1" customHeight="1" outlineLevel="1">
      <c r="A403" s="202" t="s">
        <v>599</v>
      </c>
      <c r="B403" s="68" t="b">
        <v>0</v>
      </c>
      <c r="C403" s="68" t="b">
        <v>0</v>
      </c>
      <c r="D403" s="203" t="s">
        <v>49</v>
      </c>
      <c r="E403" s="69" t="s">
        <v>600</v>
      </c>
      <c r="F403" s="69" t="s">
        <v>582</v>
      </c>
      <c r="G403" s="204"/>
      <c r="H403" s="71" t="b">
        <v>1</v>
      </c>
      <c r="I403" s="193"/>
      <c r="J403" s="193"/>
    </row>
    <row r="404" ht="57.0" hidden="1" customHeight="1" outlineLevel="1">
      <c r="A404" s="199" t="s">
        <v>601</v>
      </c>
      <c r="B404" s="61" t="b">
        <v>0</v>
      </c>
      <c r="C404" s="61" t="b">
        <v>0</v>
      </c>
      <c r="D404" s="200" t="s">
        <v>49</v>
      </c>
      <c r="E404" s="62" t="s">
        <v>602</v>
      </c>
      <c r="F404" s="62" t="s">
        <v>582</v>
      </c>
      <c r="G404" s="201"/>
      <c r="H404" s="53" t="b">
        <v>1</v>
      </c>
      <c r="I404" s="193"/>
      <c r="J404" s="193"/>
    </row>
    <row r="405" ht="57.0" hidden="1" customHeight="1" outlineLevel="1">
      <c r="A405" s="202" t="s">
        <v>603</v>
      </c>
      <c r="B405" s="68" t="b">
        <v>0</v>
      </c>
      <c r="C405" s="68" t="b">
        <v>0</v>
      </c>
      <c r="D405" s="203" t="s">
        <v>49</v>
      </c>
      <c r="E405" s="69" t="s">
        <v>604</v>
      </c>
      <c r="F405" s="69" t="s">
        <v>582</v>
      </c>
      <c r="G405" s="204"/>
      <c r="H405" s="71" t="b">
        <v>1</v>
      </c>
      <c r="I405" s="193"/>
      <c r="J405" s="193"/>
    </row>
    <row r="406" ht="57.0" hidden="1" customHeight="1" outlineLevel="1">
      <c r="A406" s="205" t="s">
        <v>605</v>
      </c>
      <c r="B406" s="61" t="b">
        <v>0</v>
      </c>
      <c r="C406" s="61" t="b">
        <v>0</v>
      </c>
      <c r="D406" s="200" t="s">
        <v>49</v>
      </c>
      <c r="E406" s="62" t="s">
        <v>591</v>
      </c>
      <c r="F406" s="62" t="s">
        <v>582</v>
      </c>
      <c r="G406" s="201"/>
      <c r="H406" s="53" t="b">
        <v>1</v>
      </c>
      <c r="I406" s="193"/>
      <c r="J406" s="193"/>
    </row>
    <row r="407" ht="57.0" customHeight="1">
      <c r="A407" s="180" t="s">
        <v>606</v>
      </c>
      <c r="B407" s="181" t="b">
        <v>0</v>
      </c>
      <c r="C407" s="181" t="b">
        <v>0</v>
      </c>
      <c r="D407" s="182" t="s">
        <v>401</v>
      </c>
      <c r="E407" s="182" t="s">
        <v>607</v>
      </c>
      <c r="F407" s="182" t="s">
        <v>457</v>
      </c>
      <c r="G407" s="207"/>
      <c r="H407" s="187" t="b">
        <v>0</v>
      </c>
      <c r="I407" s="193"/>
      <c r="J407" s="193"/>
    </row>
    <row r="408" ht="57.0" customHeight="1">
      <c r="A408" s="60" t="s">
        <v>608</v>
      </c>
      <c r="B408" s="61" t="b">
        <v>0</v>
      </c>
      <c r="C408" s="61" t="b">
        <v>0</v>
      </c>
      <c r="D408" s="62" t="s">
        <v>425</v>
      </c>
      <c r="E408" s="62" t="s">
        <v>396</v>
      </c>
      <c r="F408" s="62" t="s">
        <v>457</v>
      </c>
      <c r="G408" s="63"/>
      <c r="H408" s="103" t="b">
        <v>0</v>
      </c>
      <c r="I408" s="160"/>
      <c r="J408" s="161"/>
    </row>
    <row r="409" ht="57.0" customHeight="1">
      <c r="A409" s="180" t="s">
        <v>609</v>
      </c>
      <c r="B409" s="181" t="b">
        <v>0</v>
      </c>
      <c r="C409" s="181" t="b">
        <v>0</v>
      </c>
      <c r="D409" s="182" t="s">
        <v>49</v>
      </c>
      <c r="E409" s="182" t="s">
        <v>610</v>
      </c>
      <c r="F409" s="182" t="s">
        <v>611</v>
      </c>
      <c r="G409" s="183" t="s">
        <v>612</v>
      </c>
      <c r="H409" s="208" t="b">
        <v>0</v>
      </c>
      <c r="I409" s="160"/>
      <c r="J409" s="161"/>
    </row>
    <row r="410" ht="57.0" customHeight="1" collapsed="1">
      <c r="A410" s="60" t="s">
        <v>613</v>
      </c>
      <c r="B410" s="61" t="b">
        <v>0</v>
      </c>
      <c r="C410" s="61" t="b">
        <v>0</v>
      </c>
      <c r="D410" s="62" t="s">
        <v>49</v>
      </c>
      <c r="E410" s="62" t="s">
        <v>614</v>
      </c>
      <c r="F410" s="62" t="s">
        <v>582</v>
      </c>
      <c r="G410" s="63"/>
      <c r="H410" s="159" t="b">
        <v>0</v>
      </c>
      <c r="I410" s="160"/>
      <c r="J410" s="161"/>
    </row>
    <row r="411" ht="57.0" hidden="1" customHeight="1" outlineLevel="1">
      <c r="A411" s="60" t="s">
        <v>615</v>
      </c>
      <c r="B411" s="61" t="b">
        <v>0</v>
      </c>
      <c r="C411" s="61" t="b">
        <v>0</v>
      </c>
      <c r="D411" s="62" t="s">
        <v>49</v>
      </c>
      <c r="E411" s="62" t="s">
        <v>588</v>
      </c>
      <c r="F411" s="62" t="s">
        <v>582</v>
      </c>
      <c r="G411" s="63"/>
      <c r="H411" s="103" t="b">
        <v>1</v>
      </c>
      <c r="I411" s="160"/>
      <c r="J411" s="161"/>
    </row>
    <row r="412" ht="57.0" hidden="1" customHeight="1" outlineLevel="1">
      <c r="A412" s="66" t="s">
        <v>616</v>
      </c>
      <c r="B412" s="68" t="b">
        <v>0</v>
      </c>
      <c r="C412" s="68" t="b">
        <v>0</v>
      </c>
      <c r="D412" s="69" t="s">
        <v>49</v>
      </c>
      <c r="E412" s="69" t="s">
        <v>588</v>
      </c>
      <c r="F412" s="69" t="s">
        <v>582</v>
      </c>
      <c r="G412" s="70"/>
      <c r="H412" s="104" t="b">
        <v>1</v>
      </c>
      <c r="I412" s="160"/>
      <c r="J412" s="161"/>
    </row>
    <row r="413" ht="57.0" hidden="1" customHeight="1" outlineLevel="1">
      <c r="A413" s="60" t="s">
        <v>617</v>
      </c>
      <c r="B413" s="61" t="b">
        <v>0</v>
      </c>
      <c r="C413" s="61" t="b">
        <v>0</v>
      </c>
      <c r="D413" s="62" t="s">
        <v>49</v>
      </c>
      <c r="E413" s="62" t="s">
        <v>618</v>
      </c>
      <c r="F413" s="62" t="s">
        <v>582</v>
      </c>
      <c r="G413" s="63"/>
      <c r="H413" s="103" t="b">
        <v>1</v>
      </c>
      <c r="I413" s="160"/>
      <c r="J413" s="161"/>
    </row>
    <row r="414" ht="57.0" hidden="1" customHeight="1" outlineLevel="1">
      <c r="A414" s="66" t="s">
        <v>619</v>
      </c>
      <c r="B414" s="68" t="b">
        <v>0</v>
      </c>
      <c r="C414" s="68" t="b">
        <v>0</v>
      </c>
      <c r="D414" s="69" t="s">
        <v>49</v>
      </c>
      <c r="E414" s="69" t="s">
        <v>620</v>
      </c>
      <c r="F414" s="69" t="s">
        <v>582</v>
      </c>
      <c r="G414" s="70"/>
      <c r="H414" s="104" t="b">
        <v>1</v>
      </c>
      <c r="I414" s="160"/>
      <c r="J414" s="161"/>
    </row>
    <row r="415" ht="57.0" hidden="1" customHeight="1" outlineLevel="1">
      <c r="A415" s="60" t="s">
        <v>621</v>
      </c>
      <c r="B415" s="61" t="b">
        <v>0</v>
      </c>
      <c r="C415" s="61" t="b">
        <v>0</v>
      </c>
      <c r="D415" s="62" t="s">
        <v>49</v>
      </c>
      <c r="E415" s="62" t="s">
        <v>595</v>
      </c>
      <c r="F415" s="62" t="s">
        <v>582</v>
      </c>
      <c r="G415" s="63"/>
      <c r="H415" s="103" t="b">
        <v>1</v>
      </c>
      <c r="I415" s="160"/>
      <c r="J415" s="161"/>
    </row>
    <row r="416" ht="57.0" hidden="1" customHeight="1" outlineLevel="1">
      <c r="A416" s="66" t="s">
        <v>622</v>
      </c>
      <c r="B416" s="68" t="b">
        <v>0</v>
      </c>
      <c r="C416" s="68" t="b">
        <v>0</v>
      </c>
      <c r="D416" s="69" t="s">
        <v>49</v>
      </c>
      <c r="E416" s="69" t="s">
        <v>618</v>
      </c>
      <c r="F416" s="69" t="s">
        <v>582</v>
      </c>
      <c r="G416" s="70"/>
      <c r="H416" s="104" t="b">
        <v>1</v>
      </c>
      <c r="I416" s="160"/>
      <c r="J416" s="161"/>
    </row>
    <row r="417" ht="57.0" hidden="1" customHeight="1" outlineLevel="1">
      <c r="A417" s="60" t="s">
        <v>623</v>
      </c>
      <c r="B417" s="61" t="b">
        <v>0</v>
      </c>
      <c r="C417" s="61" t="b">
        <v>0</v>
      </c>
      <c r="D417" s="62" t="s">
        <v>49</v>
      </c>
      <c r="E417" s="62" t="s">
        <v>624</v>
      </c>
      <c r="F417" s="62" t="s">
        <v>582</v>
      </c>
      <c r="G417" s="63"/>
      <c r="H417" s="103" t="b">
        <v>1</v>
      </c>
      <c r="I417" s="160"/>
      <c r="J417" s="161"/>
    </row>
    <row r="418" ht="57.0" hidden="1" customHeight="1" outlineLevel="1">
      <c r="A418" s="66" t="s">
        <v>625</v>
      </c>
      <c r="B418" s="68" t="b">
        <v>0</v>
      </c>
      <c r="C418" s="68" t="b">
        <v>0</v>
      </c>
      <c r="D418" s="69" t="s">
        <v>49</v>
      </c>
      <c r="E418" s="69" t="s">
        <v>595</v>
      </c>
      <c r="F418" s="69" t="s">
        <v>582</v>
      </c>
      <c r="G418" s="70"/>
      <c r="H418" s="104" t="b">
        <v>1</v>
      </c>
      <c r="I418" s="160"/>
      <c r="J418" s="161"/>
    </row>
    <row r="419" ht="57.0" hidden="1" customHeight="1" outlineLevel="1">
      <c r="A419" s="60" t="s">
        <v>626</v>
      </c>
      <c r="B419" s="61" t="b">
        <v>0</v>
      </c>
      <c r="C419" s="61" t="b">
        <v>0</v>
      </c>
      <c r="D419" s="62" t="s">
        <v>49</v>
      </c>
      <c r="E419" s="62" t="s">
        <v>624</v>
      </c>
      <c r="F419" s="62" t="s">
        <v>582</v>
      </c>
      <c r="G419" s="63"/>
      <c r="H419" s="103" t="b">
        <v>1</v>
      </c>
      <c r="I419" s="160"/>
      <c r="J419" s="161"/>
    </row>
    <row r="420" ht="57.0" hidden="1" customHeight="1" outlineLevel="1">
      <c r="A420" s="66" t="s">
        <v>627</v>
      </c>
      <c r="B420" s="68" t="b">
        <v>0</v>
      </c>
      <c r="C420" s="68" t="b">
        <v>0</v>
      </c>
      <c r="D420" s="69" t="s">
        <v>49</v>
      </c>
      <c r="E420" s="69" t="s">
        <v>628</v>
      </c>
      <c r="F420" s="69" t="s">
        <v>582</v>
      </c>
      <c r="G420" s="70"/>
      <c r="H420" s="104" t="b">
        <v>1</v>
      </c>
      <c r="I420" s="160"/>
      <c r="J420" s="161"/>
    </row>
    <row r="421" ht="57.0" hidden="1" customHeight="1" outlineLevel="1">
      <c r="A421" s="60" t="s">
        <v>629</v>
      </c>
      <c r="B421" s="61" t="b">
        <v>0</v>
      </c>
      <c r="C421" s="61" t="b">
        <v>0</v>
      </c>
      <c r="D421" s="62" t="s">
        <v>49</v>
      </c>
      <c r="E421" s="62" t="s">
        <v>595</v>
      </c>
      <c r="F421" s="62" t="s">
        <v>582</v>
      </c>
      <c r="G421" s="63"/>
      <c r="H421" s="103" t="b">
        <v>1</v>
      </c>
      <c r="I421" s="160"/>
      <c r="J421" s="161"/>
    </row>
    <row r="422" ht="57.0" hidden="1" customHeight="1" outlineLevel="1">
      <c r="A422" s="66" t="s">
        <v>630</v>
      </c>
      <c r="B422" s="68" t="b">
        <v>0</v>
      </c>
      <c r="C422" s="68" t="b">
        <v>0</v>
      </c>
      <c r="D422" s="69" t="s">
        <v>49</v>
      </c>
      <c r="E422" s="69" t="s">
        <v>618</v>
      </c>
      <c r="F422" s="69" t="s">
        <v>582</v>
      </c>
      <c r="G422" s="70"/>
      <c r="H422" s="104" t="b">
        <v>1</v>
      </c>
      <c r="I422" s="160"/>
      <c r="J422" s="161"/>
    </row>
    <row r="423" ht="57.0" hidden="1" customHeight="1" outlineLevel="1">
      <c r="A423" s="60" t="s">
        <v>631</v>
      </c>
      <c r="B423" s="61" t="b">
        <v>0</v>
      </c>
      <c r="C423" s="61" t="b">
        <v>0</v>
      </c>
      <c r="D423" s="62" t="s">
        <v>49</v>
      </c>
      <c r="E423" s="62" t="s">
        <v>588</v>
      </c>
      <c r="F423" s="62" t="s">
        <v>582</v>
      </c>
      <c r="G423" s="63"/>
      <c r="H423" s="103" t="b">
        <v>1</v>
      </c>
      <c r="I423" s="160"/>
      <c r="J423" s="161"/>
    </row>
    <row r="424" ht="57.0" customHeight="1" collapsed="1">
      <c r="A424" s="180" t="s">
        <v>632</v>
      </c>
      <c r="B424" s="181" t="b">
        <v>0</v>
      </c>
      <c r="C424" s="181" t="b">
        <v>0</v>
      </c>
      <c r="D424" s="182" t="s">
        <v>500</v>
      </c>
      <c r="E424" s="182" t="s">
        <v>633</v>
      </c>
      <c r="F424" s="182" t="s">
        <v>502</v>
      </c>
      <c r="G424" s="183"/>
      <c r="H424" s="209" t="b">
        <v>0</v>
      </c>
      <c r="I424" s="160"/>
      <c r="J424" s="161"/>
    </row>
    <row r="425" ht="57.0" hidden="1" customHeight="1" outlineLevel="1">
      <c r="A425" s="60" t="s">
        <v>634</v>
      </c>
      <c r="B425" s="61" t="b">
        <v>0</v>
      </c>
      <c r="C425" s="61" t="b">
        <v>0</v>
      </c>
      <c r="D425" s="62" t="s">
        <v>49</v>
      </c>
      <c r="E425" s="62" t="s">
        <v>430</v>
      </c>
      <c r="F425" s="62" t="s">
        <v>502</v>
      </c>
      <c r="G425" s="63"/>
      <c r="H425" s="103" t="b">
        <v>1</v>
      </c>
      <c r="I425" s="160"/>
      <c r="J425" s="161"/>
    </row>
    <row r="426" ht="57.0" hidden="1" customHeight="1" outlineLevel="1">
      <c r="A426" s="66" t="s">
        <v>635</v>
      </c>
      <c r="B426" s="68" t="b">
        <v>0</v>
      </c>
      <c r="C426" s="68" t="b">
        <v>0</v>
      </c>
      <c r="D426" s="69" t="s">
        <v>49</v>
      </c>
      <c r="E426" s="69" t="s">
        <v>539</v>
      </c>
      <c r="F426" s="69" t="s">
        <v>502</v>
      </c>
      <c r="G426" s="70"/>
      <c r="H426" s="104" t="b">
        <v>1</v>
      </c>
      <c r="I426" s="160"/>
      <c r="J426" s="161"/>
    </row>
    <row r="427" ht="57.0" hidden="1" customHeight="1" outlineLevel="1">
      <c r="A427" s="60" t="s">
        <v>636</v>
      </c>
      <c r="B427" s="61" t="b">
        <v>0</v>
      </c>
      <c r="C427" s="61" t="b">
        <v>0</v>
      </c>
      <c r="D427" s="62" t="s">
        <v>49</v>
      </c>
      <c r="E427" s="62" t="s">
        <v>551</v>
      </c>
      <c r="F427" s="62" t="s">
        <v>502</v>
      </c>
      <c r="G427" s="63"/>
      <c r="H427" s="103" t="b">
        <v>1</v>
      </c>
      <c r="I427" s="160"/>
      <c r="J427" s="161"/>
    </row>
    <row r="428" ht="57.0" hidden="1" customHeight="1" outlineLevel="1">
      <c r="A428" s="66" t="s">
        <v>637</v>
      </c>
      <c r="B428" s="68" t="b">
        <v>0</v>
      </c>
      <c r="C428" s="68" t="b">
        <v>0</v>
      </c>
      <c r="D428" s="69" t="s">
        <v>49</v>
      </c>
      <c r="E428" s="69" t="s">
        <v>539</v>
      </c>
      <c r="F428" s="69" t="s">
        <v>502</v>
      </c>
      <c r="G428" s="70"/>
      <c r="H428" s="104" t="b">
        <v>1</v>
      </c>
      <c r="I428" s="160"/>
      <c r="J428" s="161"/>
    </row>
    <row r="429" ht="57.0" hidden="1" customHeight="1" outlineLevel="1">
      <c r="A429" s="60" t="s">
        <v>638</v>
      </c>
      <c r="B429" s="61" t="b">
        <v>0</v>
      </c>
      <c r="C429" s="61" t="b">
        <v>0</v>
      </c>
      <c r="D429" s="62" t="s">
        <v>49</v>
      </c>
      <c r="E429" s="62" t="s">
        <v>539</v>
      </c>
      <c r="F429" s="62" t="s">
        <v>502</v>
      </c>
      <c r="G429" s="63"/>
      <c r="H429" s="103" t="b">
        <v>1</v>
      </c>
      <c r="I429" s="160"/>
      <c r="J429" s="161"/>
    </row>
    <row r="430" ht="57.0" hidden="1" customHeight="1" outlineLevel="1">
      <c r="A430" s="66" t="s">
        <v>639</v>
      </c>
      <c r="B430" s="68" t="b">
        <v>0</v>
      </c>
      <c r="C430" s="68" t="b">
        <v>0</v>
      </c>
      <c r="D430" s="69" t="s">
        <v>49</v>
      </c>
      <c r="E430" s="69" t="s">
        <v>551</v>
      </c>
      <c r="F430" s="69" t="s">
        <v>502</v>
      </c>
      <c r="G430" s="70"/>
      <c r="H430" s="104" t="b">
        <v>1</v>
      </c>
      <c r="I430" s="160"/>
      <c r="J430" s="161"/>
    </row>
    <row r="431" ht="57.0" hidden="1" customHeight="1" outlineLevel="1">
      <c r="A431" s="60" t="s">
        <v>640</v>
      </c>
      <c r="B431" s="61" t="b">
        <v>0</v>
      </c>
      <c r="C431" s="61" t="b">
        <v>0</v>
      </c>
      <c r="D431" s="62" t="s">
        <v>49</v>
      </c>
      <c r="E431" s="62" t="s">
        <v>539</v>
      </c>
      <c r="F431" s="62" t="s">
        <v>502</v>
      </c>
      <c r="G431" s="63"/>
      <c r="H431" s="103" t="b">
        <v>1</v>
      </c>
      <c r="I431" s="160"/>
      <c r="J431" s="161"/>
    </row>
    <row r="432" ht="57.0" hidden="1" customHeight="1" outlineLevel="1">
      <c r="A432" s="66" t="s">
        <v>641</v>
      </c>
      <c r="B432" s="68" t="b">
        <v>0</v>
      </c>
      <c r="C432" s="68" t="b">
        <v>0</v>
      </c>
      <c r="D432" s="69" t="s">
        <v>49</v>
      </c>
      <c r="E432" s="69" t="s">
        <v>539</v>
      </c>
      <c r="F432" s="69" t="s">
        <v>502</v>
      </c>
      <c r="G432" s="70"/>
      <c r="H432" s="104" t="b">
        <v>1</v>
      </c>
      <c r="I432" s="160"/>
      <c r="J432" s="161"/>
    </row>
    <row r="433" ht="57.0" hidden="1" customHeight="1" outlineLevel="1">
      <c r="A433" s="60" t="s">
        <v>642</v>
      </c>
      <c r="B433" s="61" t="b">
        <v>0</v>
      </c>
      <c r="C433" s="61" t="b">
        <v>0</v>
      </c>
      <c r="D433" s="62" t="s">
        <v>49</v>
      </c>
      <c r="E433" s="62" t="s">
        <v>539</v>
      </c>
      <c r="F433" s="62" t="s">
        <v>502</v>
      </c>
      <c r="G433" s="63"/>
      <c r="H433" s="103" t="b">
        <v>1</v>
      </c>
      <c r="I433" s="160"/>
      <c r="J433" s="161"/>
    </row>
    <row r="434" ht="57.0" hidden="1" customHeight="1" outlineLevel="1">
      <c r="A434" s="66" t="s">
        <v>643</v>
      </c>
      <c r="B434" s="68" t="b">
        <v>0</v>
      </c>
      <c r="C434" s="68" t="b">
        <v>0</v>
      </c>
      <c r="D434" s="69" t="s">
        <v>49</v>
      </c>
      <c r="E434" s="69" t="s">
        <v>551</v>
      </c>
      <c r="F434" s="69" t="s">
        <v>502</v>
      </c>
      <c r="G434" s="70"/>
      <c r="H434" s="104" t="b">
        <v>1</v>
      </c>
      <c r="I434" s="160"/>
      <c r="J434" s="161"/>
    </row>
    <row r="435" ht="57.0" hidden="1" customHeight="1" outlineLevel="1">
      <c r="A435" s="60" t="s">
        <v>644</v>
      </c>
      <c r="B435" s="61" t="b">
        <v>0</v>
      </c>
      <c r="C435" s="61" t="b">
        <v>0</v>
      </c>
      <c r="D435" s="62" t="s">
        <v>49</v>
      </c>
      <c r="E435" s="62" t="s">
        <v>539</v>
      </c>
      <c r="F435" s="62" t="s">
        <v>502</v>
      </c>
      <c r="G435" s="63"/>
      <c r="H435" s="103" t="b">
        <v>1</v>
      </c>
      <c r="I435" s="160"/>
      <c r="J435" s="161"/>
    </row>
    <row r="436" ht="57.0" hidden="1" customHeight="1" outlineLevel="1">
      <c r="A436" s="66" t="s">
        <v>645</v>
      </c>
      <c r="B436" s="68" t="b">
        <v>0</v>
      </c>
      <c r="C436" s="68" t="b">
        <v>0</v>
      </c>
      <c r="D436" s="69" t="s">
        <v>49</v>
      </c>
      <c r="E436" s="69" t="s">
        <v>539</v>
      </c>
      <c r="F436" s="69" t="s">
        <v>502</v>
      </c>
      <c r="G436" s="70"/>
      <c r="H436" s="104" t="b">
        <v>1</v>
      </c>
      <c r="I436" s="160"/>
      <c r="J436" s="161"/>
    </row>
    <row r="437" ht="57.0" hidden="1" customHeight="1" outlineLevel="1">
      <c r="A437" s="60" t="s">
        <v>646</v>
      </c>
      <c r="B437" s="61" t="b">
        <v>0</v>
      </c>
      <c r="C437" s="61" t="b">
        <v>0</v>
      </c>
      <c r="D437" s="62" t="s">
        <v>49</v>
      </c>
      <c r="E437" s="62" t="s">
        <v>551</v>
      </c>
      <c r="F437" s="62" t="s">
        <v>502</v>
      </c>
      <c r="G437" s="63"/>
      <c r="H437" s="103" t="b">
        <v>1</v>
      </c>
      <c r="I437" s="160"/>
      <c r="J437" s="161"/>
    </row>
    <row r="438" ht="57.0" hidden="1" customHeight="1" outlineLevel="1">
      <c r="A438" s="66" t="s">
        <v>647</v>
      </c>
      <c r="B438" s="68" t="b">
        <v>0</v>
      </c>
      <c r="C438" s="68" t="b">
        <v>0</v>
      </c>
      <c r="D438" s="69" t="s">
        <v>49</v>
      </c>
      <c r="E438" s="69" t="s">
        <v>551</v>
      </c>
      <c r="F438" s="69" t="s">
        <v>502</v>
      </c>
      <c r="G438" s="70"/>
      <c r="H438" s="104" t="b">
        <v>1</v>
      </c>
      <c r="I438" s="160"/>
      <c r="J438" s="161"/>
    </row>
    <row r="439" ht="57.0" hidden="1" customHeight="1" outlineLevel="1">
      <c r="A439" s="60" t="s">
        <v>648</v>
      </c>
      <c r="B439" s="61" t="b">
        <v>0</v>
      </c>
      <c r="C439" s="61" t="b">
        <v>0</v>
      </c>
      <c r="D439" s="62" t="s">
        <v>49</v>
      </c>
      <c r="E439" s="62" t="s">
        <v>539</v>
      </c>
      <c r="F439" s="62" t="s">
        <v>502</v>
      </c>
      <c r="G439" s="63"/>
      <c r="H439" s="103" t="b">
        <v>1</v>
      </c>
      <c r="I439" s="160"/>
      <c r="J439" s="161"/>
    </row>
    <row r="440" ht="57.0" hidden="1" customHeight="1" outlineLevel="1">
      <c r="A440" s="66" t="s">
        <v>649</v>
      </c>
      <c r="B440" s="68" t="b">
        <v>0</v>
      </c>
      <c r="C440" s="68" t="b">
        <v>0</v>
      </c>
      <c r="D440" s="69" t="s">
        <v>49</v>
      </c>
      <c r="E440" s="69" t="s">
        <v>539</v>
      </c>
      <c r="F440" s="69" t="s">
        <v>502</v>
      </c>
      <c r="G440" s="70"/>
      <c r="H440" s="104" t="b">
        <v>1</v>
      </c>
      <c r="I440" s="160"/>
      <c r="J440" s="161"/>
    </row>
    <row r="441" ht="57.0" hidden="1" customHeight="1" outlineLevel="1">
      <c r="A441" s="60" t="s">
        <v>650</v>
      </c>
      <c r="B441" s="61" t="b">
        <v>0</v>
      </c>
      <c r="C441" s="61" t="b">
        <v>0</v>
      </c>
      <c r="D441" s="62" t="s">
        <v>49</v>
      </c>
      <c r="E441" s="62" t="s">
        <v>539</v>
      </c>
      <c r="F441" s="62" t="s">
        <v>502</v>
      </c>
      <c r="G441" s="63"/>
      <c r="H441" s="103" t="b">
        <v>1</v>
      </c>
      <c r="I441" s="160"/>
      <c r="J441" s="161"/>
    </row>
    <row r="442" ht="57.0" hidden="1" customHeight="1" outlineLevel="1">
      <c r="A442" s="66" t="s">
        <v>651</v>
      </c>
      <c r="B442" s="68" t="b">
        <v>0</v>
      </c>
      <c r="C442" s="68" t="b">
        <v>0</v>
      </c>
      <c r="D442" s="69" t="s">
        <v>49</v>
      </c>
      <c r="E442" s="69" t="s">
        <v>539</v>
      </c>
      <c r="F442" s="69" t="s">
        <v>502</v>
      </c>
      <c r="G442" s="70"/>
      <c r="H442" s="104" t="b">
        <v>1</v>
      </c>
      <c r="I442" s="160"/>
      <c r="J442" s="161"/>
    </row>
    <row r="443" ht="57.0" hidden="1" customHeight="1" outlineLevel="1">
      <c r="A443" s="60" t="s">
        <v>652</v>
      </c>
      <c r="B443" s="61" t="b">
        <v>0</v>
      </c>
      <c r="C443" s="61" t="b">
        <v>0</v>
      </c>
      <c r="D443" s="62" t="s">
        <v>49</v>
      </c>
      <c r="E443" s="62" t="s">
        <v>539</v>
      </c>
      <c r="F443" s="62" t="s">
        <v>502</v>
      </c>
      <c r="G443" s="185" t="s">
        <v>653</v>
      </c>
      <c r="H443" s="103" t="b">
        <v>1</v>
      </c>
      <c r="I443" s="160"/>
      <c r="J443" s="161"/>
    </row>
    <row r="444" ht="57.0" hidden="1" customHeight="1" outlineLevel="1">
      <c r="A444" s="66" t="s">
        <v>654</v>
      </c>
      <c r="B444" s="68" t="b">
        <v>0</v>
      </c>
      <c r="C444" s="68" t="b">
        <v>0</v>
      </c>
      <c r="D444" s="69" t="s">
        <v>49</v>
      </c>
      <c r="E444" s="69" t="s">
        <v>539</v>
      </c>
      <c r="F444" s="69" t="s">
        <v>502</v>
      </c>
      <c r="G444" s="198" t="s">
        <v>655</v>
      </c>
      <c r="H444" s="104" t="b">
        <v>1</v>
      </c>
      <c r="I444" s="160"/>
      <c r="J444" s="161"/>
    </row>
    <row r="445" ht="57.0" hidden="1" customHeight="1" outlineLevel="1">
      <c r="A445" s="60" t="s">
        <v>656</v>
      </c>
      <c r="B445" s="61" t="b">
        <v>0</v>
      </c>
      <c r="C445" s="61" t="b">
        <v>0</v>
      </c>
      <c r="D445" s="62" t="s">
        <v>49</v>
      </c>
      <c r="E445" s="62" t="s">
        <v>539</v>
      </c>
      <c r="F445" s="62" t="s">
        <v>502</v>
      </c>
      <c r="G445" s="63"/>
      <c r="H445" s="103" t="b">
        <v>1</v>
      </c>
      <c r="I445" s="160"/>
      <c r="J445" s="161"/>
    </row>
    <row r="446" ht="57.0" hidden="1" customHeight="1" outlineLevel="1">
      <c r="A446" s="66" t="s">
        <v>657</v>
      </c>
      <c r="B446" s="68" t="b">
        <v>0</v>
      </c>
      <c r="C446" s="68" t="b">
        <v>0</v>
      </c>
      <c r="D446" s="69" t="s">
        <v>401</v>
      </c>
      <c r="E446" s="69" t="s">
        <v>539</v>
      </c>
      <c r="F446" s="69" t="s">
        <v>502</v>
      </c>
      <c r="G446" s="70"/>
      <c r="H446" s="104" t="b">
        <v>1</v>
      </c>
      <c r="I446" s="160"/>
      <c r="J446" s="161"/>
    </row>
    <row r="447" ht="57.0" customHeight="1" collapsed="1">
      <c r="A447" s="60" t="s">
        <v>658</v>
      </c>
      <c r="B447" s="61" t="b">
        <v>0</v>
      </c>
      <c r="C447" s="61" t="b">
        <v>0</v>
      </c>
      <c r="D447" s="62" t="s">
        <v>49</v>
      </c>
      <c r="E447" s="62" t="s">
        <v>659</v>
      </c>
      <c r="F447" s="62" t="s">
        <v>457</v>
      </c>
      <c r="G447" s="63" t="s">
        <v>660</v>
      </c>
      <c r="H447" s="103" t="b">
        <v>0</v>
      </c>
      <c r="I447" s="160"/>
      <c r="J447" s="161"/>
    </row>
    <row r="448" ht="57.0" hidden="1" customHeight="1" outlineLevel="1">
      <c r="A448" s="60" t="s">
        <v>661</v>
      </c>
      <c r="B448" s="61" t="b">
        <v>0</v>
      </c>
      <c r="C448" s="61" t="b">
        <v>0</v>
      </c>
      <c r="D448" s="62" t="s">
        <v>49</v>
      </c>
      <c r="E448" s="62" t="s">
        <v>662</v>
      </c>
      <c r="F448" s="62" t="s">
        <v>457</v>
      </c>
      <c r="G448" s="63"/>
      <c r="H448" s="103" t="b">
        <v>1</v>
      </c>
      <c r="I448" s="160"/>
      <c r="J448" s="161"/>
    </row>
    <row r="449" ht="57.0" hidden="1" customHeight="1" outlineLevel="1">
      <c r="A449" s="66" t="s">
        <v>663</v>
      </c>
      <c r="B449" s="68" t="b">
        <v>0</v>
      </c>
      <c r="C449" s="68" t="b">
        <v>0</v>
      </c>
      <c r="D449" s="69" t="s">
        <v>49</v>
      </c>
      <c r="E449" s="69" t="s">
        <v>662</v>
      </c>
      <c r="F449" s="69" t="s">
        <v>457</v>
      </c>
      <c r="G449" s="70"/>
      <c r="H449" s="104" t="b">
        <v>1</v>
      </c>
      <c r="I449" s="160"/>
      <c r="J449" s="161"/>
    </row>
    <row r="450" ht="57.0" hidden="1" customHeight="1" outlineLevel="1">
      <c r="A450" s="60" t="s">
        <v>664</v>
      </c>
      <c r="B450" s="61" t="b">
        <v>0</v>
      </c>
      <c r="C450" s="61" t="b">
        <v>0</v>
      </c>
      <c r="D450" s="62" t="s">
        <v>49</v>
      </c>
      <c r="E450" s="62" t="s">
        <v>662</v>
      </c>
      <c r="F450" s="62" t="s">
        <v>457</v>
      </c>
      <c r="G450" s="63"/>
      <c r="H450" s="103" t="b">
        <v>1</v>
      </c>
      <c r="I450" s="160"/>
      <c r="J450" s="161"/>
    </row>
    <row r="451" ht="57.0" hidden="1" customHeight="1" outlineLevel="1">
      <c r="A451" s="66" t="s">
        <v>665</v>
      </c>
      <c r="B451" s="68" t="b">
        <v>0</v>
      </c>
      <c r="C451" s="68" t="b">
        <v>0</v>
      </c>
      <c r="D451" s="69" t="s">
        <v>49</v>
      </c>
      <c r="E451" s="69" t="s">
        <v>662</v>
      </c>
      <c r="F451" s="69" t="s">
        <v>457</v>
      </c>
      <c r="G451" s="70"/>
      <c r="H451" s="104" t="b">
        <v>1</v>
      </c>
      <c r="I451" s="160"/>
      <c r="J451" s="161"/>
    </row>
    <row r="452" ht="57.0" hidden="1" customHeight="1" outlineLevel="1">
      <c r="A452" s="60" t="s">
        <v>666</v>
      </c>
      <c r="B452" s="61" t="b">
        <v>0</v>
      </c>
      <c r="C452" s="61" t="b">
        <v>0</v>
      </c>
      <c r="D452" s="62" t="s">
        <v>49</v>
      </c>
      <c r="E452" s="62" t="s">
        <v>662</v>
      </c>
      <c r="F452" s="62" t="s">
        <v>457</v>
      </c>
      <c r="G452" s="63"/>
      <c r="H452" s="103" t="b">
        <v>1</v>
      </c>
      <c r="I452" s="160"/>
      <c r="J452" s="161"/>
    </row>
    <row r="453" ht="57.0" hidden="1" customHeight="1" outlineLevel="1">
      <c r="A453" s="66" t="s">
        <v>667</v>
      </c>
      <c r="B453" s="68" t="b">
        <v>0</v>
      </c>
      <c r="C453" s="68" t="b">
        <v>0</v>
      </c>
      <c r="D453" s="69" t="s">
        <v>49</v>
      </c>
      <c r="E453" s="69" t="s">
        <v>662</v>
      </c>
      <c r="F453" s="69" t="s">
        <v>457</v>
      </c>
      <c r="G453" s="70"/>
      <c r="H453" s="104" t="b">
        <v>1</v>
      </c>
      <c r="I453" s="160"/>
      <c r="J453" s="161"/>
    </row>
    <row r="454" ht="57.0" hidden="1" customHeight="1" outlineLevel="1">
      <c r="A454" s="60" t="s">
        <v>668</v>
      </c>
      <c r="B454" s="61" t="b">
        <v>0</v>
      </c>
      <c r="C454" s="61" t="b">
        <v>0</v>
      </c>
      <c r="D454" s="62" t="s">
        <v>49</v>
      </c>
      <c r="E454" s="62" t="s">
        <v>662</v>
      </c>
      <c r="F454" s="62" t="s">
        <v>457</v>
      </c>
      <c r="G454" s="63"/>
      <c r="H454" s="103" t="b">
        <v>1</v>
      </c>
      <c r="I454" s="160"/>
      <c r="J454" s="161"/>
    </row>
    <row r="455" ht="57.0" hidden="1" customHeight="1" outlineLevel="1">
      <c r="A455" s="66" t="s">
        <v>669</v>
      </c>
      <c r="B455" s="68" t="b">
        <v>0</v>
      </c>
      <c r="C455" s="68" t="b">
        <v>0</v>
      </c>
      <c r="D455" s="69" t="s">
        <v>49</v>
      </c>
      <c r="E455" s="69" t="s">
        <v>571</v>
      </c>
      <c r="F455" s="69" t="s">
        <v>457</v>
      </c>
      <c r="G455" s="70"/>
      <c r="H455" s="104" t="b">
        <v>1</v>
      </c>
      <c r="I455" s="160"/>
      <c r="J455" s="161"/>
    </row>
    <row r="456" ht="57.0" hidden="1" customHeight="1" outlineLevel="1">
      <c r="A456" s="60" t="s">
        <v>670</v>
      </c>
      <c r="B456" s="61" t="b">
        <v>0</v>
      </c>
      <c r="C456" s="61" t="b">
        <v>0</v>
      </c>
      <c r="D456" s="62" t="s">
        <v>49</v>
      </c>
      <c r="E456" s="62" t="s">
        <v>571</v>
      </c>
      <c r="F456" s="62" t="s">
        <v>457</v>
      </c>
      <c r="G456" s="63"/>
      <c r="H456" s="103" t="b">
        <v>1</v>
      </c>
      <c r="I456" s="160"/>
      <c r="J456" s="161"/>
    </row>
    <row r="457" ht="57.0" hidden="1" customHeight="1" outlineLevel="1">
      <c r="A457" s="66" t="s">
        <v>671</v>
      </c>
      <c r="B457" s="68" t="b">
        <v>0</v>
      </c>
      <c r="C457" s="68" t="b">
        <v>0</v>
      </c>
      <c r="D457" s="69" t="s">
        <v>49</v>
      </c>
      <c r="E457" s="69" t="s">
        <v>662</v>
      </c>
      <c r="F457" s="69" t="s">
        <v>457</v>
      </c>
      <c r="G457" s="70"/>
      <c r="H457" s="104" t="b">
        <v>1</v>
      </c>
      <c r="I457" s="160"/>
      <c r="J457" s="161"/>
    </row>
    <row r="458" ht="57.0" customHeight="1">
      <c r="A458" s="180" t="s">
        <v>672</v>
      </c>
      <c r="B458" s="181" t="b">
        <v>0</v>
      </c>
      <c r="C458" s="181" t="b">
        <v>0</v>
      </c>
      <c r="D458" s="182" t="s">
        <v>401</v>
      </c>
      <c r="E458" s="182" t="s">
        <v>673</v>
      </c>
      <c r="F458" s="182" t="s">
        <v>674</v>
      </c>
      <c r="G458" s="183"/>
      <c r="H458" s="209" t="b">
        <v>0</v>
      </c>
      <c r="I458" s="160"/>
      <c r="J458" s="161"/>
    </row>
    <row r="459" ht="57.0" customHeight="1" collapsed="1">
      <c r="A459" s="112" t="s">
        <v>675</v>
      </c>
      <c r="B459" s="113" t="b">
        <v>0</v>
      </c>
      <c r="C459" s="113" t="b">
        <v>0</v>
      </c>
      <c r="D459" s="114" t="s">
        <v>49</v>
      </c>
      <c r="E459" s="114" t="s">
        <v>676</v>
      </c>
      <c r="F459" s="114" t="s">
        <v>582</v>
      </c>
      <c r="G459" s="115"/>
      <c r="H459" s="210" t="b">
        <v>0</v>
      </c>
      <c r="I459" s="160"/>
      <c r="J459" s="161"/>
    </row>
    <row r="460" ht="57.0" hidden="1" customHeight="1" outlineLevel="1">
      <c r="A460" s="49" t="s">
        <v>677</v>
      </c>
      <c r="B460" s="50" t="b">
        <v>0</v>
      </c>
      <c r="C460" s="50" t="b">
        <v>0</v>
      </c>
      <c r="D460" s="51" t="s">
        <v>49</v>
      </c>
      <c r="E460" s="51" t="s">
        <v>678</v>
      </c>
      <c r="F460" s="51" t="s">
        <v>582</v>
      </c>
      <c r="G460" s="116"/>
      <c r="H460" s="53" t="b">
        <v>1</v>
      </c>
      <c r="I460" s="211"/>
      <c r="J460" s="212"/>
    </row>
    <row r="461" ht="57.0" hidden="1" customHeight="1" outlineLevel="1">
      <c r="A461" s="66" t="s">
        <v>679</v>
      </c>
      <c r="B461" s="68" t="b">
        <v>0</v>
      </c>
      <c r="C461" s="68" t="b">
        <v>0</v>
      </c>
      <c r="D461" s="69" t="s">
        <v>49</v>
      </c>
      <c r="E461" s="69" t="s">
        <v>593</v>
      </c>
      <c r="F461" s="69" t="s">
        <v>582</v>
      </c>
      <c r="G461" s="70"/>
      <c r="H461" s="71" t="b">
        <v>1</v>
      </c>
      <c r="I461" s="211"/>
      <c r="J461" s="212"/>
    </row>
    <row r="462" ht="57.0" hidden="1" customHeight="1" outlineLevel="1">
      <c r="A462" s="60" t="s">
        <v>680</v>
      </c>
      <c r="B462" s="61" t="b">
        <v>0</v>
      </c>
      <c r="C462" s="61" t="b">
        <v>0</v>
      </c>
      <c r="D462" s="62" t="s">
        <v>49</v>
      </c>
      <c r="E462" s="62" t="s">
        <v>624</v>
      </c>
      <c r="F462" s="62" t="s">
        <v>582</v>
      </c>
      <c r="G462" s="63"/>
      <c r="H462" s="53" t="b">
        <v>1</v>
      </c>
      <c r="I462" s="211"/>
      <c r="J462" s="212"/>
    </row>
    <row r="463" ht="57.0" hidden="1" customHeight="1" outlineLevel="1">
      <c r="A463" s="66" t="s">
        <v>681</v>
      </c>
      <c r="B463" s="68" t="b">
        <v>0</v>
      </c>
      <c r="C463" s="68" t="b">
        <v>0</v>
      </c>
      <c r="D463" s="69" t="s">
        <v>49</v>
      </c>
      <c r="E463" s="69" t="s">
        <v>682</v>
      </c>
      <c r="F463" s="69" t="s">
        <v>582</v>
      </c>
      <c r="G463" s="70"/>
      <c r="H463" s="71" t="b">
        <v>1</v>
      </c>
      <c r="I463" s="211"/>
      <c r="J463" s="212"/>
    </row>
    <row r="464" ht="57.0" hidden="1" customHeight="1" outlineLevel="1">
      <c r="A464" s="60" t="s">
        <v>683</v>
      </c>
      <c r="B464" s="61" t="b">
        <v>0</v>
      </c>
      <c r="C464" s="61" t="b">
        <v>0</v>
      </c>
      <c r="D464" s="62" t="s">
        <v>49</v>
      </c>
      <c r="E464" s="62" t="s">
        <v>682</v>
      </c>
      <c r="F464" s="62" t="s">
        <v>582</v>
      </c>
      <c r="G464" s="63"/>
      <c r="H464" s="53" t="b">
        <v>1</v>
      </c>
      <c r="I464" s="211"/>
      <c r="J464" s="212"/>
    </row>
    <row r="465" ht="57.0" hidden="1" customHeight="1" outlineLevel="1">
      <c r="A465" s="66" t="s">
        <v>684</v>
      </c>
      <c r="B465" s="68" t="b">
        <v>0</v>
      </c>
      <c r="C465" s="68" t="b">
        <v>0</v>
      </c>
      <c r="D465" s="69" t="s">
        <v>49</v>
      </c>
      <c r="E465" s="69" t="s">
        <v>600</v>
      </c>
      <c r="F465" s="69" t="s">
        <v>582</v>
      </c>
      <c r="G465" s="70"/>
      <c r="H465" s="71" t="b">
        <v>1</v>
      </c>
      <c r="I465" s="211"/>
      <c r="J465" s="212"/>
    </row>
    <row r="466" ht="57.0" hidden="1" customHeight="1" outlineLevel="1">
      <c r="A466" s="60" t="s">
        <v>685</v>
      </c>
      <c r="B466" s="61" t="b">
        <v>0</v>
      </c>
      <c r="C466" s="61" t="b">
        <v>0</v>
      </c>
      <c r="D466" s="62" t="s">
        <v>49</v>
      </c>
      <c r="E466" s="62" t="s">
        <v>602</v>
      </c>
      <c r="F466" s="62" t="s">
        <v>582</v>
      </c>
      <c r="G466" s="63"/>
      <c r="H466" s="53" t="b">
        <v>1</v>
      </c>
      <c r="I466" s="211"/>
      <c r="J466" s="212"/>
    </row>
    <row r="467" ht="57.0" hidden="1" customHeight="1" outlineLevel="1">
      <c r="A467" s="66" t="s">
        <v>686</v>
      </c>
      <c r="B467" s="68" t="b">
        <v>0</v>
      </c>
      <c r="C467" s="68" t="b">
        <v>0</v>
      </c>
      <c r="D467" s="69" t="s">
        <v>49</v>
      </c>
      <c r="E467" s="69" t="s">
        <v>687</v>
      </c>
      <c r="F467" s="69" t="s">
        <v>582</v>
      </c>
      <c r="G467" s="70"/>
      <c r="H467" s="71" t="b">
        <v>1</v>
      </c>
      <c r="I467" s="211"/>
      <c r="J467" s="212"/>
    </row>
    <row r="468" ht="57.0" hidden="1" customHeight="1" outlineLevel="1">
      <c r="A468" s="60" t="s">
        <v>688</v>
      </c>
      <c r="B468" s="61" t="b">
        <v>0</v>
      </c>
      <c r="C468" s="61" t="b">
        <v>0</v>
      </c>
      <c r="D468" s="62" t="s">
        <v>49</v>
      </c>
      <c r="E468" s="62" t="s">
        <v>689</v>
      </c>
      <c r="F468" s="62" t="s">
        <v>582</v>
      </c>
      <c r="G468" s="63"/>
      <c r="H468" s="53" t="b">
        <v>1</v>
      </c>
      <c r="I468" s="211"/>
      <c r="J468" s="212"/>
    </row>
    <row r="469" ht="57.0" hidden="1" customHeight="1" outlineLevel="1">
      <c r="A469" s="66" t="s">
        <v>690</v>
      </c>
      <c r="B469" s="68" t="b">
        <v>0</v>
      </c>
      <c r="C469" s="68" t="b">
        <v>0</v>
      </c>
      <c r="D469" s="69" t="s">
        <v>49</v>
      </c>
      <c r="E469" s="69" t="s">
        <v>624</v>
      </c>
      <c r="F469" s="69" t="s">
        <v>582</v>
      </c>
      <c r="G469" s="70"/>
      <c r="H469" s="71" t="b">
        <v>1</v>
      </c>
      <c r="I469" s="211"/>
      <c r="J469" s="212"/>
    </row>
    <row r="470" ht="57.0" hidden="1" customHeight="1" outlineLevel="1">
      <c r="A470" s="60" t="s">
        <v>691</v>
      </c>
      <c r="B470" s="61" t="b">
        <v>0</v>
      </c>
      <c r="C470" s="61" t="b">
        <v>0</v>
      </c>
      <c r="D470" s="62" t="s">
        <v>49</v>
      </c>
      <c r="E470" s="62" t="s">
        <v>618</v>
      </c>
      <c r="F470" s="62" t="s">
        <v>582</v>
      </c>
      <c r="G470" s="63"/>
      <c r="H470" s="53" t="b">
        <v>1</v>
      </c>
      <c r="I470" s="211"/>
      <c r="J470" s="212"/>
    </row>
    <row r="471" ht="57.0" hidden="1" customHeight="1" outlineLevel="1">
      <c r="A471" s="66" t="s">
        <v>692</v>
      </c>
      <c r="B471" s="68" t="b">
        <v>0</v>
      </c>
      <c r="C471" s="68" t="b">
        <v>0</v>
      </c>
      <c r="D471" s="69" t="s">
        <v>49</v>
      </c>
      <c r="E471" s="69" t="s">
        <v>604</v>
      </c>
      <c r="F471" s="69" t="s">
        <v>582</v>
      </c>
      <c r="G471" s="70"/>
      <c r="H471" s="71" t="b">
        <v>1</v>
      </c>
      <c r="I471" s="211"/>
      <c r="J471" s="212"/>
    </row>
    <row r="472" ht="57.0" hidden="1" customHeight="1" outlineLevel="1">
      <c r="A472" s="60" t="s">
        <v>693</v>
      </c>
      <c r="B472" s="61" t="b">
        <v>0</v>
      </c>
      <c r="C472" s="61" t="b">
        <v>0</v>
      </c>
      <c r="D472" s="62" t="s">
        <v>49</v>
      </c>
      <c r="E472" s="62" t="s">
        <v>682</v>
      </c>
      <c r="F472" s="62" t="s">
        <v>582</v>
      </c>
      <c r="G472" s="63"/>
      <c r="H472" s="53" t="b">
        <v>1</v>
      </c>
      <c r="I472" s="211"/>
      <c r="J472" s="212"/>
    </row>
    <row r="473" ht="31.5" customHeight="1">
      <c r="A473" s="173" t="str">
        <f> A275</f>
        <v>LEGEND: ⭐= Important / Major Impact | 📺= Series | 🍿= MCU Movie / Special | 🎬= Shortfilm/Oneshot | ⭕= Other Universe (Non-MCU)</v>
      </c>
      <c r="B473" s="174"/>
      <c r="C473" s="174"/>
      <c r="D473" s="174"/>
      <c r="E473" s="174"/>
      <c r="F473" s="174"/>
      <c r="G473" s="175"/>
      <c r="H473" s="125"/>
      <c r="I473" s="126"/>
      <c r="J473" s="126"/>
    </row>
    <row r="474" ht="31.5" customHeight="1">
      <c r="A474" s="127"/>
      <c r="B474" s="127"/>
      <c r="C474" s="127"/>
      <c r="D474" s="127"/>
      <c r="E474" s="127"/>
      <c r="F474" s="127"/>
      <c r="G474" s="127"/>
      <c r="H474" s="103"/>
      <c r="I474" s="126"/>
      <c r="J474" s="126"/>
    </row>
    <row r="475" ht="57.0" customHeight="1">
      <c r="A475" s="194" t="s">
        <v>694</v>
      </c>
      <c r="B475" s="178"/>
      <c r="C475" s="178"/>
      <c r="D475" s="178"/>
      <c r="E475" s="178"/>
      <c r="F475" s="178"/>
      <c r="G475" s="178"/>
      <c r="H475" s="178"/>
      <c r="I475" s="178"/>
      <c r="J475" s="179"/>
    </row>
    <row r="476" ht="57.0" customHeight="1">
      <c r="A476" s="213" t="s">
        <v>695</v>
      </c>
      <c r="B476" s="214" t="b">
        <v>0</v>
      </c>
      <c r="C476" s="214" t="b">
        <v>0</v>
      </c>
      <c r="D476" s="215" t="s">
        <v>425</v>
      </c>
      <c r="E476" s="215" t="s">
        <v>696</v>
      </c>
      <c r="F476" s="215" t="s">
        <v>457</v>
      </c>
      <c r="G476" s="216"/>
      <c r="H476" s="53" t="b">
        <v>0</v>
      </c>
      <c r="I476" s="136" t="s">
        <v>697</v>
      </c>
      <c r="J476" s="58">
        <f>IF(
    COUNTIFS(C476:C840, FALSE, H476:H840, FALSE) = 0,
    0,
    COUNTIFS(B476:B840, TRUE, C476:C840, FALSE, H476:H840, FALSE) /
    COUNTIFS(C476:C840, FALSE, H476:H840, FALSE)
)</f>
        <v>0</v>
      </c>
    </row>
    <row r="477" ht="57.0" customHeight="1">
      <c r="A477" s="180" t="s">
        <v>698</v>
      </c>
      <c r="B477" s="181" t="b">
        <v>0</v>
      </c>
      <c r="C477" s="181" t="b">
        <v>0</v>
      </c>
      <c r="D477" s="182" t="s">
        <v>401</v>
      </c>
      <c r="E477" s="182" t="s">
        <v>699</v>
      </c>
      <c r="F477" s="182" t="s">
        <v>700</v>
      </c>
      <c r="G477" s="183"/>
      <c r="H477" s="187"/>
      <c r="I477" s="142" t="s">
        <v>701</v>
      </c>
      <c r="J477" s="143">
        <f>COUNTIF(C476:C840,TRUE) - COUNTIFS(C476:C840,TRUE,A476:A840," *")</f>
        <v>0</v>
      </c>
    </row>
    <row r="478" ht="57.0" customHeight="1">
      <c r="A478" s="205" t="s">
        <v>702</v>
      </c>
      <c r="B478" s="61" t="b">
        <v>0</v>
      </c>
      <c r="C478" s="61" t="b">
        <v>0</v>
      </c>
      <c r="D478" s="62" t="s">
        <v>49</v>
      </c>
      <c r="E478" s="62" t="s">
        <v>464</v>
      </c>
      <c r="F478" s="62" t="s">
        <v>457</v>
      </c>
      <c r="G478" s="63"/>
      <c r="H478" s="53" t="b">
        <v>0</v>
      </c>
      <c r="I478" s="148" t="s">
        <v>110</v>
      </c>
      <c r="J478" s="98">
        <f>J31</f>
        <v>0</v>
      </c>
    </row>
    <row r="479" ht="57.0" customHeight="1" collapsed="1">
      <c r="A479" s="180" t="s">
        <v>703</v>
      </c>
      <c r="B479" s="181" t="b">
        <v>0</v>
      </c>
      <c r="C479" s="181" t="b">
        <v>0</v>
      </c>
      <c r="D479" s="182" t="s">
        <v>49</v>
      </c>
      <c r="E479" s="182" t="s">
        <v>704</v>
      </c>
      <c r="F479" s="182" t="s">
        <v>582</v>
      </c>
      <c r="G479" s="183"/>
      <c r="H479" s="187" t="b">
        <v>0</v>
      </c>
      <c r="I479" s="102" t="str">
        <f>image("https://m.media-amazon.com/images/I/91HemAcOl9L.jpg")</f>
        <v>#REF!</v>
      </c>
    </row>
    <row r="480" ht="57.0" hidden="1" customHeight="1" outlineLevel="1">
      <c r="A480" s="60" t="s">
        <v>705</v>
      </c>
      <c r="B480" s="61" t="b">
        <v>0</v>
      </c>
      <c r="C480" s="61" t="b">
        <v>0</v>
      </c>
      <c r="D480" s="62" t="s">
        <v>49</v>
      </c>
      <c r="E480" s="62" t="s">
        <v>706</v>
      </c>
      <c r="F480" s="62" t="s">
        <v>582</v>
      </c>
      <c r="G480" s="63"/>
      <c r="H480" s="53" t="b">
        <v>1</v>
      </c>
    </row>
    <row r="481" ht="57.0" hidden="1" customHeight="1" outlineLevel="1">
      <c r="A481" s="66" t="s">
        <v>707</v>
      </c>
      <c r="B481" s="68" t="b">
        <v>0</v>
      </c>
      <c r="C481" s="68" t="b">
        <v>0</v>
      </c>
      <c r="D481" s="69" t="s">
        <v>49</v>
      </c>
      <c r="E481" s="69" t="s">
        <v>591</v>
      </c>
      <c r="F481" s="69" t="s">
        <v>582</v>
      </c>
      <c r="G481" s="70"/>
      <c r="H481" s="71" t="b">
        <v>1</v>
      </c>
    </row>
    <row r="482" ht="57.0" hidden="1" customHeight="1" outlineLevel="1">
      <c r="A482" s="60" t="s">
        <v>708</v>
      </c>
      <c r="B482" s="61" t="b">
        <v>0</v>
      </c>
      <c r="C482" s="61" t="b">
        <v>0</v>
      </c>
      <c r="D482" s="62" t="s">
        <v>49</v>
      </c>
      <c r="E482" s="62" t="s">
        <v>585</v>
      </c>
      <c r="F482" s="62" t="s">
        <v>582</v>
      </c>
      <c r="G482" s="63"/>
      <c r="H482" s="53" t="b">
        <v>1</v>
      </c>
    </row>
    <row r="483" ht="57.0" hidden="1" customHeight="1" outlineLevel="1">
      <c r="A483" s="66" t="s">
        <v>709</v>
      </c>
      <c r="B483" s="68" t="b">
        <v>0</v>
      </c>
      <c r="C483" s="68" t="b">
        <v>0</v>
      </c>
      <c r="D483" s="69" t="s">
        <v>49</v>
      </c>
      <c r="E483" s="69" t="s">
        <v>620</v>
      </c>
      <c r="F483" s="69" t="s">
        <v>582</v>
      </c>
      <c r="G483" s="70"/>
      <c r="H483" s="71" t="b">
        <v>1</v>
      </c>
    </row>
    <row r="484" ht="57.0" hidden="1" customHeight="1" outlineLevel="1">
      <c r="A484" s="60" t="s">
        <v>710</v>
      </c>
      <c r="B484" s="61" t="b">
        <v>0</v>
      </c>
      <c r="C484" s="61" t="b">
        <v>0</v>
      </c>
      <c r="D484" s="62" t="s">
        <v>49</v>
      </c>
      <c r="E484" s="62" t="s">
        <v>585</v>
      </c>
      <c r="F484" s="62" t="s">
        <v>582</v>
      </c>
      <c r="G484" s="63"/>
      <c r="H484" s="53" t="b">
        <v>1</v>
      </c>
    </row>
    <row r="485" ht="57.0" hidden="1" customHeight="1" outlineLevel="1">
      <c r="A485" s="66" t="s">
        <v>711</v>
      </c>
      <c r="B485" s="68" t="b">
        <v>0</v>
      </c>
      <c r="C485" s="68" t="b">
        <v>0</v>
      </c>
      <c r="D485" s="69" t="s">
        <v>49</v>
      </c>
      <c r="E485" s="69" t="s">
        <v>624</v>
      </c>
      <c r="F485" s="69" t="s">
        <v>582</v>
      </c>
      <c r="G485" s="70"/>
      <c r="H485" s="71" t="b">
        <v>1</v>
      </c>
    </row>
    <row r="486" ht="57.0" hidden="1" customHeight="1" outlineLevel="1">
      <c r="A486" s="60" t="s">
        <v>712</v>
      </c>
      <c r="B486" s="61" t="b">
        <v>0</v>
      </c>
      <c r="C486" s="61" t="b">
        <v>0</v>
      </c>
      <c r="D486" s="62" t="s">
        <v>49</v>
      </c>
      <c r="E486" s="62" t="s">
        <v>600</v>
      </c>
      <c r="F486" s="62" t="s">
        <v>582</v>
      </c>
      <c r="G486" s="63"/>
      <c r="H486" s="53" t="b">
        <v>1</v>
      </c>
    </row>
    <row r="487" ht="57.0" hidden="1" customHeight="1" outlineLevel="1">
      <c r="A487" s="66" t="s">
        <v>713</v>
      </c>
      <c r="B487" s="68" t="b">
        <v>0</v>
      </c>
      <c r="C487" s="68" t="b">
        <v>0</v>
      </c>
      <c r="D487" s="69" t="s">
        <v>49</v>
      </c>
      <c r="E487" s="69" t="s">
        <v>585</v>
      </c>
      <c r="F487" s="69" t="s">
        <v>582</v>
      </c>
      <c r="G487" s="70"/>
      <c r="H487" s="71" t="b">
        <v>1</v>
      </c>
    </row>
    <row r="488" ht="57.0" hidden="1" customHeight="1" outlineLevel="1">
      <c r="A488" s="60" t="s">
        <v>714</v>
      </c>
      <c r="B488" s="61" t="b">
        <v>0</v>
      </c>
      <c r="C488" s="61" t="b">
        <v>0</v>
      </c>
      <c r="D488" s="62" t="s">
        <v>49</v>
      </c>
      <c r="E488" s="62" t="s">
        <v>624</v>
      </c>
      <c r="F488" s="62" t="s">
        <v>582</v>
      </c>
      <c r="G488" s="63"/>
      <c r="H488" s="53" t="b">
        <v>1</v>
      </c>
    </row>
    <row r="489" ht="57.0" hidden="1" customHeight="1" outlineLevel="1">
      <c r="A489" s="66" t="s">
        <v>715</v>
      </c>
      <c r="B489" s="68" t="b">
        <v>0</v>
      </c>
      <c r="C489" s="68" t="b">
        <v>0</v>
      </c>
      <c r="D489" s="69" t="s">
        <v>49</v>
      </c>
      <c r="E489" s="69" t="s">
        <v>624</v>
      </c>
      <c r="F489" s="69" t="s">
        <v>582</v>
      </c>
      <c r="G489" s="70"/>
      <c r="H489" s="71" t="b">
        <v>1</v>
      </c>
    </row>
    <row r="490" ht="57.0" hidden="1" customHeight="1" outlineLevel="1">
      <c r="A490" s="60" t="s">
        <v>716</v>
      </c>
      <c r="B490" s="61" t="b">
        <v>0</v>
      </c>
      <c r="C490" s="61" t="b">
        <v>0</v>
      </c>
      <c r="D490" s="62" t="s">
        <v>49</v>
      </c>
      <c r="E490" s="62" t="s">
        <v>591</v>
      </c>
      <c r="F490" s="62" t="s">
        <v>582</v>
      </c>
      <c r="G490" s="63"/>
      <c r="H490" s="53" t="b">
        <v>1</v>
      </c>
    </row>
    <row r="491" ht="57.0" hidden="1" customHeight="1" outlineLevel="1">
      <c r="A491" s="66" t="s">
        <v>717</v>
      </c>
      <c r="B491" s="68" t="b">
        <v>0</v>
      </c>
      <c r="C491" s="68" t="b">
        <v>0</v>
      </c>
      <c r="D491" s="69" t="s">
        <v>49</v>
      </c>
      <c r="E491" s="69" t="s">
        <v>588</v>
      </c>
      <c r="F491" s="69" t="s">
        <v>582</v>
      </c>
      <c r="G491" s="70"/>
      <c r="H491" s="71" t="b">
        <v>1</v>
      </c>
    </row>
    <row r="492" ht="57.0" hidden="1" customHeight="1" outlineLevel="1">
      <c r="A492" s="60" t="s">
        <v>718</v>
      </c>
      <c r="B492" s="61" t="b">
        <v>0</v>
      </c>
      <c r="C492" s="61" t="b">
        <v>0</v>
      </c>
      <c r="D492" s="62" t="s">
        <v>49</v>
      </c>
      <c r="E492" s="62" t="s">
        <v>706</v>
      </c>
      <c r="F492" s="62" t="s">
        <v>582</v>
      </c>
      <c r="G492" s="63"/>
      <c r="H492" s="53" t="b">
        <v>1</v>
      </c>
    </row>
    <row r="493" ht="57.0" customHeight="1">
      <c r="A493" s="60" t="s">
        <v>719</v>
      </c>
      <c r="B493" s="61" t="b">
        <v>0</v>
      </c>
      <c r="C493" s="61" t="b">
        <v>0</v>
      </c>
      <c r="D493" s="62" t="s">
        <v>425</v>
      </c>
      <c r="E493" s="62" t="s">
        <v>476</v>
      </c>
      <c r="F493" s="62" t="s">
        <v>457</v>
      </c>
      <c r="G493" s="63"/>
      <c r="H493" s="53" t="b">
        <v>0</v>
      </c>
    </row>
    <row r="494" ht="57.0" customHeight="1" collapsed="1">
      <c r="A494" s="180" t="s">
        <v>720</v>
      </c>
      <c r="B494" s="181" t="b">
        <v>0</v>
      </c>
      <c r="C494" s="181" t="b">
        <v>0</v>
      </c>
      <c r="D494" s="182" t="s">
        <v>500</v>
      </c>
      <c r="E494" s="182" t="s">
        <v>537</v>
      </c>
      <c r="F494" s="182" t="s">
        <v>502</v>
      </c>
      <c r="G494" s="183"/>
      <c r="H494" s="187" t="b">
        <v>0</v>
      </c>
    </row>
    <row r="495" ht="57.0" hidden="1" customHeight="1" outlineLevel="1">
      <c r="A495" s="60" t="s">
        <v>721</v>
      </c>
      <c r="B495" s="61" t="b">
        <v>0</v>
      </c>
      <c r="C495" s="61" t="b">
        <v>0</v>
      </c>
      <c r="D495" s="62" t="s">
        <v>49</v>
      </c>
      <c r="E495" s="62" t="s">
        <v>539</v>
      </c>
      <c r="F495" s="62" t="s">
        <v>502</v>
      </c>
      <c r="G495" s="63"/>
      <c r="H495" s="53" t="b">
        <v>1</v>
      </c>
    </row>
    <row r="496" ht="57.0" hidden="1" customHeight="1" outlineLevel="1">
      <c r="A496" s="66" t="s">
        <v>722</v>
      </c>
      <c r="B496" s="68" t="b">
        <v>0</v>
      </c>
      <c r="C496" s="68" t="b">
        <v>0</v>
      </c>
      <c r="D496" s="69" t="s">
        <v>49</v>
      </c>
      <c r="E496" s="69" t="s">
        <v>539</v>
      </c>
      <c r="F496" s="69" t="s">
        <v>502</v>
      </c>
      <c r="G496" s="70"/>
      <c r="H496" s="71" t="b">
        <v>1</v>
      </c>
    </row>
    <row r="497" ht="57.0" hidden="1" customHeight="1" outlineLevel="1">
      <c r="A497" s="60" t="s">
        <v>723</v>
      </c>
      <c r="B497" s="61" t="b">
        <v>0</v>
      </c>
      <c r="C497" s="61" t="b">
        <v>0</v>
      </c>
      <c r="D497" s="62" t="s">
        <v>49</v>
      </c>
      <c r="E497" s="62" t="s">
        <v>539</v>
      </c>
      <c r="F497" s="62" t="s">
        <v>502</v>
      </c>
      <c r="G497" s="63"/>
      <c r="H497" s="53" t="b">
        <v>1</v>
      </c>
    </row>
    <row r="498" ht="57.0" hidden="1" customHeight="1" outlineLevel="1">
      <c r="A498" s="66" t="s">
        <v>724</v>
      </c>
      <c r="B498" s="68" t="b">
        <v>0</v>
      </c>
      <c r="C498" s="68" t="b">
        <v>0</v>
      </c>
      <c r="D498" s="69" t="s">
        <v>49</v>
      </c>
      <c r="E498" s="69" t="s">
        <v>539</v>
      </c>
      <c r="F498" s="69" t="s">
        <v>502</v>
      </c>
      <c r="G498" s="70"/>
      <c r="H498" s="71" t="b">
        <v>1</v>
      </c>
    </row>
    <row r="499" ht="57.0" hidden="1" customHeight="1" outlineLevel="1">
      <c r="A499" s="60" t="s">
        <v>725</v>
      </c>
      <c r="B499" s="61" t="b">
        <v>0</v>
      </c>
      <c r="C499" s="61" t="b">
        <v>0</v>
      </c>
      <c r="D499" s="62" t="s">
        <v>49</v>
      </c>
      <c r="E499" s="62" t="s">
        <v>539</v>
      </c>
      <c r="F499" s="62" t="s">
        <v>502</v>
      </c>
      <c r="G499" s="63"/>
      <c r="H499" s="53" t="b">
        <v>1</v>
      </c>
    </row>
    <row r="500" ht="57.0" hidden="1" customHeight="1" outlineLevel="1">
      <c r="A500" s="66" t="s">
        <v>726</v>
      </c>
      <c r="B500" s="68" t="b">
        <v>0</v>
      </c>
      <c r="C500" s="68" t="b">
        <v>0</v>
      </c>
      <c r="D500" s="69" t="s">
        <v>49</v>
      </c>
      <c r="E500" s="69" t="s">
        <v>539</v>
      </c>
      <c r="F500" s="69" t="s">
        <v>502</v>
      </c>
      <c r="G500" s="70"/>
      <c r="H500" s="71" t="b">
        <v>1</v>
      </c>
    </row>
    <row r="501" ht="57.0" hidden="1" customHeight="1" outlineLevel="1">
      <c r="A501" s="60" t="s">
        <v>727</v>
      </c>
      <c r="B501" s="61" t="b">
        <v>0</v>
      </c>
      <c r="C501" s="61" t="b">
        <v>0</v>
      </c>
      <c r="D501" s="62" t="s">
        <v>49</v>
      </c>
      <c r="E501" s="62" t="s">
        <v>539</v>
      </c>
      <c r="F501" s="62" t="s">
        <v>502</v>
      </c>
      <c r="G501" s="63"/>
      <c r="H501" s="53" t="b">
        <v>1</v>
      </c>
    </row>
    <row r="502" ht="57.0" hidden="1" customHeight="1" outlineLevel="1">
      <c r="A502" s="66" t="s">
        <v>728</v>
      </c>
      <c r="B502" s="68" t="b">
        <v>0</v>
      </c>
      <c r="C502" s="68" t="b">
        <v>0</v>
      </c>
      <c r="D502" s="69" t="s">
        <v>49</v>
      </c>
      <c r="E502" s="69" t="s">
        <v>539</v>
      </c>
      <c r="F502" s="69" t="s">
        <v>502</v>
      </c>
      <c r="G502" s="70"/>
      <c r="H502" s="71" t="b">
        <v>1</v>
      </c>
    </row>
    <row r="503" ht="57.0" hidden="1" customHeight="1" outlineLevel="1">
      <c r="A503" s="60" t="s">
        <v>729</v>
      </c>
      <c r="B503" s="61" t="b">
        <v>0</v>
      </c>
      <c r="C503" s="61" t="b">
        <v>0</v>
      </c>
      <c r="D503" s="62" t="s">
        <v>49</v>
      </c>
      <c r="E503" s="62" t="s">
        <v>539</v>
      </c>
      <c r="F503" s="62" t="s">
        <v>502</v>
      </c>
      <c r="G503" s="63"/>
      <c r="H503" s="53" t="b">
        <v>1</v>
      </c>
    </row>
    <row r="504" ht="57.0" hidden="1" customHeight="1" outlineLevel="1">
      <c r="A504" s="66" t="s">
        <v>730</v>
      </c>
      <c r="B504" s="68" t="b">
        <v>0</v>
      </c>
      <c r="C504" s="68" t="b">
        <v>0</v>
      </c>
      <c r="D504" s="69" t="s">
        <v>49</v>
      </c>
      <c r="E504" s="69" t="s">
        <v>539</v>
      </c>
      <c r="F504" s="69" t="s">
        <v>502</v>
      </c>
      <c r="G504" s="70"/>
      <c r="H504" s="71" t="b">
        <v>1</v>
      </c>
    </row>
    <row r="505" ht="57.0" hidden="1" customHeight="1" outlineLevel="1">
      <c r="A505" s="60" t="s">
        <v>731</v>
      </c>
      <c r="B505" s="61" t="b">
        <v>0</v>
      </c>
      <c r="C505" s="61" t="b">
        <v>0</v>
      </c>
      <c r="D505" s="62" t="s">
        <v>49</v>
      </c>
      <c r="E505" s="62" t="s">
        <v>539</v>
      </c>
      <c r="F505" s="62" t="s">
        <v>502</v>
      </c>
      <c r="G505" s="63"/>
      <c r="H505" s="53" t="b">
        <v>1</v>
      </c>
    </row>
    <row r="506" ht="57.0" hidden="1" customHeight="1" outlineLevel="1">
      <c r="A506" s="66" t="s">
        <v>732</v>
      </c>
      <c r="B506" s="68" t="b">
        <v>0</v>
      </c>
      <c r="C506" s="68" t="b">
        <v>0</v>
      </c>
      <c r="D506" s="69" t="s">
        <v>49</v>
      </c>
      <c r="E506" s="69" t="s">
        <v>539</v>
      </c>
      <c r="F506" s="69" t="s">
        <v>502</v>
      </c>
      <c r="G506" s="70"/>
      <c r="H506" s="71" t="b">
        <v>1</v>
      </c>
    </row>
    <row r="507" ht="57.0" hidden="1" customHeight="1" outlineLevel="1">
      <c r="A507" s="60" t="s">
        <v>733</v>
      </c>
      <c r="B507" s="61" t="b">
        <v>0</v>
      </c>
      <c r="C507" s="61" t="b">
        <v>0</v>
      </c>
      <c r="D507" s="62" t="s">
        <v>49</v>
      </c>
      <c r="E507" s="62" t="s">
        <v>539</v>
      </c>
      <c r="F507" s="62" t="s">
        <v>502</v>
      </c>
      <c r="G507" s="63"/>
      <c r="H507" s="53" t="b">
        <v>1</v>
      </c>
    </row>
    <row r="508" ht="57.0" hidden="1" customHeight="1" outlineLevel="1">
      <c r="A508" s="66" t="s">
        <v>734</v>
      </c>
      <c r="B508" s="68" t="b">
        <v>0</v>
      </c>
      <c r="C508" s="68" t="b">
        <v>0</v>
      </c>
      <c r="D508" s="69" t="s">
        <v>49</v>
      </c>
      <c r="E508" s="69" t="s">
        <v>539</v>
      </c>
      <c r="F508" s="69" t="s">
        <v>502</v>
      </c>
      <c r="G508" s="70"/>
      <c r="H508" s="71" t="b">
        <v>1</v>
      </c>
    </row>
    <row r="509" ht="57.0" hidden="1" customHeight="1" outlineLevel="1">
      <c r="A509" s="60" t="s">
        <v>735</v>
      </c>
      <c r="B509" s="61" t="b">
        <v>0</v>
      </c>
      <c r="C509" s="61" t="b">
        <v>0</v>
      </c>
      <c r="D509" s="62" t="s">
        <v>49</v>
      </c>
      <c r="E509" s="62" t="s">
        <v>430</v>
      </c>
      <c r="F509" s="62" t="s">
        <v>502</v>
      </c>
      <c r="G509" s="63"/>
      <c r="H509" s="53" t="b">
        <v>1</v>
      </c>
    </row>
    <row r="510" ht="57.0" hidden="1" customHeight="1" outlineLevel="1">
      <c r="A510" s="66" t="s">
        <v>736</v>
      </c>
      <c r="B510" s="68" t="b">
        <v>0</v>
      </c>
      <c r="C510" s="68" t="b">
        <v>0</v>
      </c>
      <c r="D510" s="69" t="s">
        <v>49</v>
      </c>
      <c r="E510" s="69" t="s">
        <v>539</v>
      </c>
      <c r="F510" s="69" t="s">
        <v>502</v>
      </c>
      <c r="G510" s="70"/>
      <c r="H510" s="71" t="b">
        <v>1</v>
      </c>
    </row>
    <row r="511" ht="57.0" hidden="1" customHeight="1" outlineLevel="1">
      <c r="A511" s="60" t="s">
        <v>737</v>
      </c>
      <c r="B511" s="61" t="b">
        <v>0</v>
      </c>
      <c r="C511" s="61" t="b">
        <v>0</v>
      </c>
      <c r="D511" s="62" t="s">
        <v>49</v>
      </c>
      <c r="E511" s="62" t="s">
        <v>539</v>
      </c>
      <c r="F511" s="62" t="s">
        <v>502</v>
      </c>
      <c r="G511" s="63"/>
      <c r="H511" s="53" t="b">
        <v>1</v>
      </c>
    </row>
    <row r="512" ht="57.0" hidden="1" customHeight="1" outlineLevel="1">
      <c r="A512" s="66" t="s">
        <v>738</v>
      </c>
      <c r="B512" s="68" t="b">
        <v>0</v>
      </c>
      <c r="C512" s="68" t="b">
        <v>0</v>
      </c>
      <c r="D512" s="69" t="s">
        <v>49</v>
      </c>
      <c r="E512" s="69" t="s">
        <v>539</v>
      </c>
      <c r="F512" s="69" t="s">
        <v>502</v>
      </c>
      <c r="G512" s="70"/>
      <c r="H512" s="71" t="b">
        <v>1</v>
      </c>
    </row>
    <row r="513" ht="57.0" hidden="1" customHeight="1" outlineLevel="1">
      <c r="A513" s="60" t="s">
        <v>739</v>
      </c>
      <c r="B513" s="61" t="b">
        <v>0</v>
      </c>
      <c r="C513" s="61" t="b">
        <v>0</v>
      </c>
      <c r="D513" s="62" t="s">
        <v>49</v>
      </c>
      <c r="E513" s="62" t="s">
        <v>539</v>
      </c>
      <c r="F513" s="62" t="s">
        <v>502</v>
      </c>
      <c r="G513" s="63"/>
      <c r="H513" s="53" t="b">
        <v>1</v>
      </c>
    </row>
    <row r="514" ht="57.0" hidden="1" customHeight="1" outlineLevel="1">
      <c r="A514" s="66" t="s">
        <v>740</v>
      </c>
      <c r="B514" s="68" t="b">
        <v>0</v>
      </c>
      <c r="C514" s="68" t="b">
        <v>0</v>
      </c>
      <c r="D514" s="69" t="s">
        <v>49</v>
      </c>
      <c r="E514" s="69" t="s">
        <v>539</v>
      </c>
      <c r="F514" s="69" t="s">
        <v>502</v>
      </c>
      <c r="G514" s="70"/>
      <c r="H514" s="71" t="b">
        <v>1</v>
      </c>
    </row>
    <row r="515" ht="57.0" hidden="1" customHeight="1" outlineLevel="1">
      <c r="A515" s="60" t="s">
        <v>741</v>
      </c>
      <c r="B515" s="61" t="b">
        <v>0</v>
      </c>
      <c r="C515" s="61" t="b">
        <v>0</v>
      </c>
      <c r="D515" s="62" t="s">
        <v>49</v>
      </c>
      <c r="E515" s="62" t="s">
        <v>539</v>
      </c>
      <c r="F515" s="62" t="s">
        <v>502</v>
      </c>
      <c r="G515" s="63"/>
      <c r="H515" s="53" t="b">
        <v>1</v>
      </c>
    </row>
    <row r="516" ht="57.0" hidden="1" customHeight="1" outlineLevel="1">
      <c r="A516" s="66" t="s">
        <v>742</v>
      </c>
      <c r="B516" s="68" t="b">
        <v>0</v>
      </c>
      <c r="C516" s="68" t="b">
        <v>0</v>
      </c>
      <c r="D516" s="69" t="s">
        <v>401</v>
      </c>
      <c r="E516" s="69" t="s">
        <v>539</v>
      </c>
      <c r="F516" s="69" t="s">
        <v>743</v>
      </c>
      <c r="G516" s="70" t="s">
        <v>744</v>
      </c>
      <c r="H516" s="71" t="b">
        <v>1</v>
      </c>
    </row>
    <row r="517" ht="57.0" customHeight="1" collapsed="1">
      <c r="A517" s="60" t="s">
        <v>745</v>
      </c>
      <c r="B517" s="61" t="b">
        <v>0</v>
      </c>
      <c r="C517" s="61" t="b">
        <v>0</v>
      </c>
      <c r="D517" s="62" t="s">
        <v>49</v>
      </c>
      <c r="E517" s="62" t="s">
        <v>746</v>
      </c>
      <c r="F517" s="62" t="s">
        <v>502</v>
      </c>
      <c r="G517" s="63" t="s">
        <v>747</v>
      </c>
      <c r="H517" s="53" t="b">
        <v>0</v>
      </c>
    </row>
    <row r="518" ht="57.0" hidden="1" customHeight="1" outlineLevel="1">
      <c r="A518" s="60" t="s">
        <v>748</v>
      </c>
      <c r="B518" s="61" t="b">
        <v>0</v>
      </c>
      <c r="C518" s="61" t="b">
        <v>0</v>
      </c>
      <c r="D518" s="62" t="s">
        <v>49</v>
      </c>
      <c r="E518" s="62" t="s">
        <v>464</v>
      </c>
      <c r="F518" s="62" t="s">
        <v>502</v>
      </c>
      <c r="G518" s="63"/>
      <c r="H518" s="53" t="b">
        <v>1</v>
      </c>
    </row>
    <row r="519" ht="57.0" hidden="1" customHeight="1" outlineLevel="1">
      <c r="A519" s="66" t="s">
        <v>749</v>
      </c>
      <c r="B519" s="68" t="b">
        <v>0</v>
      </c>
      <c r="C519" s="68" t="b">
        <v>0</v>
      </c>
      <c r="D519" s="69" t="s">
        <v>49</v>
      </c>
      <c r="E519" s="69" t="s">
        <v>750</v>
      </c>
      <c r="F519" s="69" t="s">
        <v>502</v>
      </c>
      <c r="G519" s="70"/>
      <c r="H519" s="71" t="b">
        <v>1</v>
      </c>
    </row>
    <row r="520" ht="57.0" hidden="1" customHeight="1" outlineLevel="1">
      <c r="A520" s="60" t="s">
        <v>751</v>
      </c>
      <c r="B520" s="61" t="b">
        <v>0</v>
      </c>
      <c r="C520" s="61" t="b">
        <v>0</v>
      </c>
      <c r="D520" s="62" t="s">
        <v>49</v>
      </c>
      <c r="E520" s="62" t="s">
        <v>750</v>
      </c>
      <c r="F520" s="62" t="s">
        <v>502</v>
      </c>
      <c r="G520" s="63"/>
      <c r="H520" s="53" t="b">
        <v>1</v>
      </c>
    </row>
    <row r="521" ht="57.0" hidden="1" customHeight="1" outlineLevel="1">
      <c r="A521" s="66" t="s">
        <v>752</v>
      </c>
      <c r="B521" s="68" t="b">
        <v>0</v>
      </c>
      <c r="C521" s="68" t="b">
        <v>0</v>
      </c>
      <c r="D521" s="69" t="s">
        <v>49</v>
      </c>
      <c r="E521" s="69" t="s">
        <v>750</v>
      </c>
      <c r="F521" s="69" t="s">
        <v>502</v>
      </c>
      <c r="G521" s="70"/>
      <c r="H521" s="71" t="b">
        <v>1</v>
      </c>
    </row>
    <row r="522" ht="57.0" hidden="1" customHeight="1" outlineLevel="1">
      <c r="A522" s="60" t="s">
        <v>753</v>
      </c>
      <c r="B522" s="61" t="b">
        <v>0</v>
      </c>
      <c r="C522" s="61" t="b">
        <v>0</v>
      </c>
      <c r="D522" s="62" t="s">
        <v>49</v>
      </c>
      <c r="E522" s="62" t="s">
        <v>464</v>
      </c>
      <c r="F522" s="62" t="s">
        <v>502</v>
      </c>
      <c r="G522" s="63"/>
      <c r="H522" s="53" t="b">
        <v>1</v>
      </c>
    </row>
    <row r="523" ht="57.0" hidden="1" customHeight="1" outlineLevel="1">
      <c r="A523" s="66" t="s">
        <v>754</v>
      </c>
      <c r="B523" s="68" t="b">
        <v>0</v>
      </c>
      <c r="C523" s="68" t="b">
        <v>0</v>
      </c>
      <c r="D523" s="69" t="s">
        <v>49</v>
      </c>
      <c r="E523" s="69" t="s">
        <v>755</v>
      </c>
      <c r="F523" s="69" t="s">
        <v>502</v>
      </c>
      <c r="G523" s="70"/>
      <c r="H523" s="71" t="b">
        <v>1</v>
      </c>
    </row>
    <row r="524" ht="57.0" customHeight="1">
      <c r="A524" s="180" t="s">
        <v>756</v>
      </c>
      <c r="B524" s="181" t="b">
        <v>0</v>
      </c>
      <c r="C524" s="181" t="b">
        <v>0</v>
      </c>
      <c r="D524" s="182" t="s">
        <v>49</v>
      </c>
      <c r="E524" s="182" t="s">
        <v>464</v>
      </c>
      <c r="F524" s="182" t="s">
        <v>457</v>
      </c>
      <c r="G524" s="207"/>
      <c r="H524" s="187"/>
    </row>
    <row r="525" ht="57.0" customHeight="1">
      <c r="A525" s="60" t="s">
        <v>757</v>
      </c>
      <c r="B525" s="61" t="b">
        <v>0</v>
      </c>
      <c r="C525" s="61" t="b">
        <v>0</v>
      </c>
      <c r="D525" s="62" t="s">
        <v>49</v>
      </c>
      <c r="E525" s="62" t="s">
        <v>464</v>
      </c>
      <c r="F525" s="62" t="s">
        <v>674</v>
      </c>
      <c r="G525" s="217" t="s">
        <v>758</v>
      </c>
      <c r="H525" s="53" t="b">
        <v>0</v>
      </c>
    </row>
    <row r="526" ht="57.0" customHeight="1">
      <c r="A526" s="180" t="s">
        <v>759</v>
      </c>
      <c r="B526" s="181" t="b">
        <v>0</v>
      </c>
      <c r="C526" s="181" t="b">
        <v>0</v>
      </c>
      <c r="D526" s="182" t="s">
        <v>425</v>
      </c>
      <c r="E526" s="182" t="s">
        <v>485</v>
      </c>
      <c r="F526" s="182" t="s">
        <v>457</v>
      </c>
      <c r="G526" s="183"/>
      <c r="H526" s="187" t="b">
        <v>0</v>
      </c>
      <c r="I526" s="197"/>
      <c r="J526" s="197"/>
    </row>
    <row r="527" ht="57.0" customHeight="1" collapsed="1">
      <c r="A527" s="60" t="s">
        <v>760</v>
      </c>
      <c r="B527" s="61" t="b">
        <v>0</v>
      </c>
      <c r="C527" s="61" t="b">
        <v>0</v>
      </c>
      <c r="D527" s="62" t="s">
        <v>568</v>
      </c>
      <c r="E527" s="62" t="s">
        <v>761</v>
      </c>
      <c r="F527" s="62" t="s">
        <v>762</v>
      </c>
      <c r="G527" s="218" t="s">
        <v>763</v>
      </c>
      <c r="H527" s="53" t="b">
        <v>0</v>
      </c>
      <c r="I527" s="193"/>
      <c r="J527" s="193"/>
    </row>
    <row r="528" ht="57.0" hidden="1" customHeight="1" outlineLevel="1">
      <c r="A528" s="60" t="s">
        <v>764</v>
      </c>
      <c r="B528" s="61" t="b">
        <v>0</v>
      </c>
      <c r="C528" s="61" t="b">
        <v>0</v>
      </c>
      <c r="D528" s="62" t="s">
        <v>49</v>
      </c>
      <c r="E528" s="62" t="s">
        <v>765</v>
      </c>
      <c r="F528" s="62" t="s">
        <v>762</v>
      </c>
      <c r="G528" s="63"/>
      <c r="H528" s="53" t="b">
        <v>1</v>
      </c>
      <c r="I528" s="193"/>
      <c r="J528" s="193"/>
    </row>
    <row r="529" ht="57.0" hidden="1" customHeight="1" outlineLevel="1">
      <c r="A529" s="66" t="s">
        <v>766</v>
      </c>
      <c r="B529" s="68" t="b">
        <v>0</v>
      </c>
      <c r="C529" s="68" t="b">
        <v>0</v>
      </c>
      <c r="D529" s="69" t="s">
        <v>49</v>
      </c>
      <c r="E529" s="69" t="s">
        <v>618</v>
      </c>
      <c r="F529" s="69" t="s">
        <v>762</v>
      </c>
      <c r="G529" s="70"/>
      <c r="H529" s="71" t="b">
        <v>1</v>
      </c>
      <c r="I529" s="193"/>
      <c r="J529" s="193"/>
    </row>
    <row r="530" ht="57.0" hidden="1" customHeight="1" outlineLevel="1">
      <c r="A530" s="60" t="s">
        <v>767</v>
      </c>
      <c r="B530" s="61" t="b">
        <v>0</v>
      </c>
      <c r="C530" s="61" t="b">
        <v>0</v>
      </c>
      <c r="D530" s="62" t="s">
        <v>49</v>
      </c>
      <c r="E530" s="62" t="s">
        <v>678</v>
      </c>
      <c r="F530" s="62" t="s">
        <v>762</v>
      </c>
      <c r="G530" s="63"/>
      <c r="H530" s="53" t="b">
        <v>1</v>
      </c>
      <c r="I530" s="193"/>
      <c r="J530" s="193"/>
    </row>
    <row r="531" ht="57.0" hidden="1" customHeight="1" outlineLevel="1">
      <c r="A531" s="66" t="s">
        <v>768</v>
      </c>
      <c r="B531" s="68" t="b">
        <v>0</v>
      </c>
      <c r="C531" s="68" t="b">
        <v>0</v>
      </c>
      <c r="D531" s="69" t="s">
        <v>49</v>
      </c>
      <c r="E531" s="69" t="s">
        <v>593</v>
      </c>
      <c r="F531" s="69" t="s">
        <v>762</v>
      </c>
      <c r="G531" s="70"/>
      <c r="H531" s="71" t="b">
        <v>1</v>
      </c>
      <c r="I531" s="193"/>
      <c r="J531" s="193"/>
    </row>
    <row r="532" ht="57.0" hidden="1" customHeight="1" outlineLevel="1">
      <c r="A532" s="60" t="s">
        <v>769</v>
      </c>
      <c r="B532" s="61" t="b">
        <v>0</v>
      </c>
      <c r="C532" s="61" t="b">
        <v>0</v>
      </c>
      <c r="D532" s="62" t="s">
        <v>49</v>
      </c>
      <c r="E532" s="62" t="s">
        <v>620</v>
      </c>
      <c r="F532" s="62" t="s">
        <v>762</v>
      </c>
      <c r="G532" s="63"/>
      <c r="H532" s="53" t="b">
        <v>1</v>
      </c>
      <c r="I532" s="193"/>
      <c r="J532" s="193"/>
    </row>
    <row r="533" ht="57.0" hidden="1" customHeight="1" outlineLevel="1">
      <c r="A533" s="66" t="s">
        <v>770</v>
      </c>
      <c r="B533" s="68" t="b">
        <v>0</v>
      </c>
      <c r="C533" s="68" t="b">
        <v>0</v>
      </c>
      <c r="D533" s="69" t="s">
        <v>49</v>
      </c>
      <c r="E533" s="69" t="s">
        <v>595</v>
      </c>
      <c r="F533" s="69" t="s">
        <v>762</v>
      </c>
      <c r="G533" s="70"/>
      <c r="H533" s="71" t="b">
        <v>1</v>
      </c>
      <c r="I533" s="193"/>
      <c r="J533" s="193"/>
    </row>
    <row r="534" ht="57.0" hidden="1" customHeight="1" outlineLevel="1">
      <c r="A534" s="60" t="s">
        <v>771</v>
      </c>
      <c r="B534" s="61" t="b">
        <v>0</v>
      </c>
      <c r="C534" s="61" t="b">
        <v>0</v>
      </c>
      <c r="D534" s="62" t="s">
        <v>49</v>
      </c>
      <c r="E534" s="62" t="s">
        <v>593</v>
      </c>
      <c r="F534" s="62" t="s">
        <v>762</v>
      </c>
      <c r="G534" s="63"/>
      <c r="H534" s="53" t="b">
        <v>1</v>
      </c>
      <c r="I534" s="193"/>
      <c r="J534" s="193"/>
    </row>
    <row r="535" ht="57.0" hidden="1" customHeight="1" outlineLevel="1">
      <c r="A535" s="66" t="s">
        <v>772</v>
      </c>
      <c r="B535" s="68" t="b">
        <v>0</v>
      </c>
      <c r="C535" s="68" t="b">
        <v>0</v>
      </c>
      <c r="D535" s="69" t="s">
        <v>49</v>
      </c>
      <c r="E535" s="69" t="s">
        <v>593</v>
      </c>
      <c r="F535" s="69" t="s">
        <v>762</v>
      </c>
      <c r="G535" s="70"/>
      <c r="H535" s="71" t="b">
        <v>1</v>
      </c>
      <c r="I535" s="193"/>
      <c r="J535" s="193"/>
    </row>
    <row r="536" ht="57.0" customHeight="1" collapsed="1">
      <c r="A536" s="180" t="s">
        <v>773</v>
      </c>
      <c r="B536" s="181" t="b">
        <v>0</v>
      </c>
      <c r="C536" s="181" t="b">
        <v>0</v>
      </c>
      <c r="D536" s="182" t="s">
        <v>49</v>
      </c>
      <c r="E536" s="182" t="s">
        <v>581</v>
      </c>
      <c r="F536" s="182" t="s">
        <v>582</v>
      </c>
      <c r="G536" s="183"/>
      <c r="H536" s="187" t="b">
        <v>0</v>
      </c>
      <c r="I536" s="193"/>
      <c r="J536" s="193"/>
    </row>
    <row r="537" ht="57.0" hidden="1" customHeight="1" outlineLevel="1">
      <c r="A537" s="60" t="s">
        <v>774</v>
      </c>
      <c r="B537" s="61" t="b">
        <v>0</v>
      </c>
      <c r="C537" s="61" t="b">
        <v>0</v>
      </c>
      <c r="D537" s="62" t="s">
        <v>49</v>
      </c>
      <c r="E537" s="62" t="s">
        <v>591</v>
      </c>
      <c r="F537" s="62" t="s">
        <v>582</v>
      </c>
      <c r="G537" s="63"/>
      <c r="H537" s="53" t="b">
        <v>1</v>
      </c>
      <c r="I537" s="193"/>
      <c r="J537" s="193"/>
    </row>
    <row r="538" ht="57.0" hidden="1" customHeight="1" outlineLevel="1">
      <c r="A538" s="66" t="s">
        <v>775</v>
      </c>
      <c r="B538" s="68" t="b">
        <v>0</v>
      </c>
      <c r="C538" s="68" t="b">
        <v>0</v>
      </c>
      <c r="D538" s="69" t="s">
        <v>49</v>
      </c>
      <c r="E538" s="69" t="s">
        <v>682</v>
      </c>
      <c r="F538" s="69" t="s">
        <v>582</v>
      </c>
      <c r="G538" s="70"/>
      <c r="H538" s="71" t="b">
        <v>1</v>
      </c>
      <c r="I538" s="193"/>
      <c r="J538" s="193"/>
    </row>
    <row r="539" ht="57.0" hidden="1" customHeight="1" outlineLevel="1">
      <c r="A539" s="60" t="s">
        <v>776</v>
      </c>
      <c r="B539" s="61" t="b">
        <v>0</v>
      </c>
      <c r="C539" s="61" t="b">
        <v>0</v>
      </c>
      <c r="D539" s="62" t="s">
        <v>49</v>
      </c>
      <c r="E539" s="62" t="s">
        <v>585</v>
      </c>
      <c r="F539" s="62" t="s">
        <v>582</v>
      </c>
      <c r="G539" s="63"/>
      <c r="H539" s="53" t="b">
        <v>1</v>
      </c>
      <c r="I539" s="193"/>
      <c r="J539" s="193"/>
    </row>
    <row r="540" ht="57.0" hidden="1" customHeight="1" outlineLevel="1">
      <c r="A540" s="66" t="s">
        <v>777</v>
      </c>
      <c r="B540" s="68" t="b">
        <v>0</v>
      </c>
      <c r="C540" s="68" t="b">
        <v>0</v>
      </c>
      <c r="D540" s="69" t="s">
        <v>49</v>
      </c>
      <c r="E540" s="69" t="s">
        <v>618</v>
      </c>
      <c r="F540" s="69" t="s">
        <v>582</v>
      </c>
      <c r="G540" s="70"/>
      <c r="H540" s="71" t="b">
        <v>1</v>
      </c>
      <c r="I540" s="193"/>
      <c r="J540" s="193"/>
    </row>
    <row r="541" ht="57.0" hidden="1" customHeight="1" outlineLevel="1">
      <c r="A541" s="60" t="s">
        <v>778</v>
      </c>
      <c r="B541" s="61" t="b">
        <v>0</v>
      </c>
      <c r="C541" s="61" t="b">
        <v>0</v>
      </c>
      <c r="D541" s="62" t="s">
        <v>49</v>
      </c>
      <c r="E541" s="62" t="s">
        <v>591</v>
      </c>
      <c r="F541" s="62" t="s">
        <v>582</v>
      </c>
      <c r="G541" s="63"/>
      <c r="H541" s="53" t="b">
        <v>1</v>
      </c>
      <c r="I541" s="193"/>
      <c r="J541" s="193"/>
    </row>
    <row r="542" ht="57.0" hidden="1" customHeight="1" outlineLevel="1">
      <c r="A542" s="66" t="s">
        <v>779</v>
      </c>
      <c r="B542" s="68" t="b">
        <v>0</v>
      </c>
      <c r="C542" s="68" t="b">
        <v>0</v>
      </c>
      <c r="D542" s="69" t="s">
        <v>49</v>
      </c>
      <c r="E542" s="69" t="s">
        <v>588</v>
      </c>
      <c r="F542" s="69" t="s">
        <v>582</v>
      </c>
      <c r="G542" s="70"/>
      <c r="H542" s="71" t="b">
        <v>1</v>
      </c>
      <c r="I542" s="193"/>
      <c r="J542" s="193"/>
    </row>
    <row r="543" ht="57.0" hidden="1" customHeight="1" outlineLevel="1">
      <c r="A543" s="60" t="s">
        <v>780</v>
      </c>
      <c r="B543" s="61" t="b">
        <v>0</v>
      </c>
      <c r="C543" s="61" t="b">
        <v>0</v>
      </c>
      <c r="D543" s="62" t="s">
        <v>49</v>
      </c>
      <c r="E543" s="62" t="s">
        <v>618</v>
      </c>
      <c r="F543" s="62" t="s">
        <v>582</v>
      </c>
      <c r="G543" s="63"/>
      <c r="H543" s="53" t="b">
        <v>1</v>
      </c>
      <c r="I543" s="193"/>
      <c r="J543" s="193"/>
    </row>
    <row r="544" ht="57.0" hidden="1" customHeight="1" outlineLevel="1">
      <c r="A544" s="66" t="s">
        <v>781</v>
      </c>
      <c r="B544" s="68" t="b">
        <v>0</v>
      </c>
      <c r="C544" s="68" t="b">
        <v>0</v>
      </c>
      <c r="D544" s="69" t="s">
        <v>49</v>
      </c>
      <c r="E544" s="69" t="s">
        <v>618</v>
      </c>
      <c r="F544" s="69" t="s">
        <v>582</v>
      </c>
      <c r="G544" s="70"/>
      <c r="H544" s="71" t="b">
        <v>1</v>
      </c>
      <c r="I544" s="193"/>
      <c r="J544" s="193"/>
    </row>
    <row r="545" ht="57.0" hidden="1" customHeight="1" outlineLevel="1">
      <c r="A545" s="60" t="s">
        <v>782</v>
      </c>
      <c r="B545" s="61" t="b">
        <v>0</v>
      </c>
      <c r="C545" s="61" t="b">
        <v>0</v>
      </c>
      <c r="D545" s="62" t="s">
        <v>49</v>
      </c>
      <c r="E545" s="62" t="s">
        <v>618</v>
      </c>
      <c r="F545" s="62" t="s">
        <v>582</v>
      </c>
      <c r="G545" s="63"/>
      <c r="H545" s="53" t="b">
        <v>1</v>
      </c>
      <c r="I545" s="193"/>
      <c r="J545" s="193"/>
    </row>
    <row r="546" ht="57.0" hidden="1" customHeight="1" outlineLevel="1">
      <c r="A546" s="66" t="s">
        <v>783</v>
      </c>
      <c r="B546" s="68" t="b">
        <v>0</v>
      </c>
      <c r="C546" s="68" t="b">
        <v>0</v>
      </c>
      <c r="D546" s="69" t="s">
        <v>49</v>
      </c>
      <c r="E546" s="69" t="s">
        <v>618</v>
      </c>
      <c r="F546" s="69" t="s">
        <v>582</v>
      </c>
      <c r="G546" s="70"/>
      <c r="H546" s="71" t="b">
        <v>1</v>
      </c>
      <c r="I546" s="193"/>
      <c r="J546" s="193"/>
    </row>
    <row r="547" ht="57.0" hidden="1" customHeight="1" outlineLevel="1">
      <c r="A547" s="60" t="s">
        <v>784</v>
      </c>
      <c r="B547" s="61" t="b">
        <v>0</v>
      </c>
      <c r="C547" s="61" t="b">
        <v>0</v>
      </c>
      <c r="D547" s="62" t="s">
        <v>49</v>
      </c>
      <c r="E547" s="62" t="s">
        <v>678</v>
      </c>
      <c r="F547" s="62" t="s">
        <v>582</v>
      </c>
      <c r="G547" s="63"/>
      <c r="H547" s="53" t="b">
        <v>1</v>
      </c>
      <c r="I547" s="193"/>
      <c r="J547" s="193"/>
    </row>
    <row r="548" ht="57.0" hidden="1" customHeight="1" outlineLevel="1">
      <c r="A548" s="66" t="s">
        <v>785</v>
      </c>
      <c r="B548" s="68" t="b">
        <v>0</v>
      </c>
      <c r="C548" s="68" t="b">
        <v>0</v>
      </c>
      <c r="D548" s="69" t="s">
        <v>49</v>
      </c>
      <c r="E548" s="69" t="s">
        <v>595</v>
      </c>
      <c r="F548" s="69" t="s">
        <v>582</v>
      </c>
      <c r="G548" s="70"/>
      <c r="H548" s="71" t="b">
        <v>1</v>
      </c>
      <c r="I548" s="193"/>
      <c r="J548" s="193"/>
    </row>
    <row r="549" ht="57.0" hidden="1" customHeight="1" outlineLevel="1">
      <c r="A549" s="60" t="s">
        <v>786</v>
      </c>
      <c r="B549" s="61" t="b">
        <v>0</v>
      </c>
      <c r="C549" s="61" t="b">
        <v>0</v>
      </c>
      <c r="D549" s="62" t="s">
        <v>49</v>
      </c>
      <c r="E549" s="62" t="s">
        <v>618</v>
      </c>
      <c r="F549" s="62" t="s">
        <v>582</v>
      </c>
      <c r="G549" s="63"/>
      <c r="H549" s="53" t="b">
        <v>1</v>
      </c>
      <c r="I549" s="193"/>
      <c r="J549" s="193"/>
    </row>
    <row r="550" ht="57.0" customHeight="1">
      <c r="A550" s="60" t="s">
        <v>787</v>
      </c>
      <c r="B550" s="61" t="b">
        <v>0</v>
      </c>
      <c r="C550" s="61" t="b">
        <v>0</v>
      </c>
      <c r="D550" s="62" t="s">
        <v>49</v>
      </c>
      <c r="E550" s="62" t="s">
        <v>788</v>
      </c>
      <c r="F550" s="62" t="s">
        <v>789</v>
      </c>
      <c r="G550" s="63" t="s">
        <v>790</v>
      </c>
      <c r="H550" s="53" t="b">
        <v>0</v>
      </c>
      <c r="I550" s="193"/>
      <c r="J550" s="193"/>
    </row>
    <row r="551" ht="57.0" customHeight="1">
      <c r="A551" s="180" t="s">
        <v>791</v>
      </c>
      <c r="B551" s="181" t="b">
        <v>0</v>
      </c>
      <c r="C551" s="181" t="b">
        <v>0</v>
      </c>
      <c r="D551" s="182" t="s">
        <v>425</v>
      </c>
      <c r="E551" s="219" t="s">
        <v>492</v>
      </c>
      <c r="F551" s="219" t="s">
        <v>457</v>
      </c>
      <c r="G551" s="183"/>
      <c r="H551" s="187" t="b">
        <v>0</v>
      </c>
      <c r="I551" s="193"/>
      <c r="J551" s="193"/>
    </row>
    <row r="552" ht="57.0" customHeight="1" collapsed="1">
      <c r="A552" s="60" t="s">
        <v>792</v>
      </c>
      <c r="B552" s="61" t="b">
        <v>0</v>
      </c>
      <c r="C552" s="61" t="b">
        <v>0</v>
      </c>
      <c r="D552" s="62" t="s">
        <v>568</v>
      </c>
      <c r="E552" s="62" t="s">
        <v>793</v>
      </c>
      <c r="F552" s="62" t="s">
        <v>582</v>
      </c>
      <c r="G552" s="63" t="s">
        <v>794</v>
      </c>
      <c r="H552" s="53" t="b">
        <v>0</v>
      </c>
      <c r="I552" s="193"/>
      <c r="J552" s="193"/>
    </row>
    <row r="553" ht="57.0" hidden="1" customHeight="1" outlineLevel="1">
      <c r="A553" s="60" t="s">
        <v>795</v>
      </c>
      <c r="B553" s="61" t="b">
        <v>0</v>
      </c>
      <c r="C553" s="61" t="b">
        <v>0</v>
      </c>
      <c r="D553" s="62" t="s">
        <v>49</v>
      </c>
      <c r="E553" s="62" t="s">
        <v>678</v>
      </c>
      <c r="F553" s="62" t="s">
        <v>582</v>
      </c>
      <c r="G553" s="63"/>
      <c r="H553" s="53" t="b">
        <v>1</v>
      </c>
      <c r="I553" s="193"/>
      <c r="J553" s="193"/>
    </row>
    <row r="554" ht="57.0" hidden="1" customHeight="1" outlineLevel="1">
      <c r="A554" s="66" t="s">
        <v>796</v>
      </c>
      <c r="B554" s="68" t="b">
        <v>0</v>
      </c>
      <c r="C554" s="68" t="b">
        <v>0</v>
      </c>
      <c r="D554" s="69" t="s">
        <v>49</v>
      </c>
      <c r="E554" s="69" t="s">
        <v>430</v>
      </c>
      <c r="F554" s="69" t="s">
        <v>582</v>
      </c>
      <c r="G554" s="70"/>
      <c r="H554" s="71" t="b">
        <v>1</v>
      </c>
      <c r="I554" s="193"/>
      <c r="J554" s="193"/>
    </row>
    <row r="555" ht="57.0" hidden="1" customHeight="1" outlineLevel="1">
      <c r="A555" s="60" t="s">
        <v>797</v>
      </c>
      <c r="B555" s="61" t="b">
        <v>0</v>
      </c>
      <c r="C555" s="61" t="b">
        <v>0</v>
      </c>
      <c r="D555" s="62" t="s">
        <v>49</v>
      </c>
      <c r="E555" s="62" t="s">
        <v>798</v>
      </c>
      <c r="F555" s="62" t="s">
        <v>582</v>
      </c>
      <c r="G555" s="63"/>
      <c r="H555" s="53" t="b">
        <v>1</v>
      </c>
      <c r="I555" s="193"/>
      <c r="J555" s="193"/>
    </row>
    <row r="556" ht="57.0" hidden="1" customHeight="1" outlineLevel="1">
      <c r="A556" s="66" t="s">
        <v>799</v>
      </c>
      <c r="B556" s="68" t="b">
        <v>0</v>
      </c>
      <c r="C556" s="68" t="b">
        <v>0</v>
      </c>
      <c r="D556" s="69" t="s">
        <v>49</v>
      </c>
      <c r="E556" s="69" t="s">
        <v>430</v>
      </c>
      <c r="F556" s="69" t="s">
        <v>582</v>
      </c>
      <c r="G556" s="70"/>
      <c r="H556" s="71" t="b">
        <v>1</v>
      </c>
      <c r="I556" s="193"/>
      <c r="J556" s="193"/>
    </row>
    <row r="557" ht="57.0" hidden="1" customHeight="1" outlineLevel="1">
      <c r="A557" s="60" t="s">
        <v>800</v>
      </c>
      <c r="B557" s="61" t="b">
        <v>0</v>
      </c>
      <c r="C557" s="61" t="b">
        <v>0</v>
      </c>
      <c r="D557" s="62" t="s">
        <v>49</v>
      </c>
      <c r="E557" s="62" t="s">
        <v>620</v>
      </c>
      <c r="F557" s="62" t="s">
        <v>582</v>
      </c>
      <c r="G557" s="63"/>
      <c r="H557" s="53" t="b">
        <v>1</v>
      </c>
      <c r="I557" s="193"/>
      <c r="J557" s="193"/>
    </row>
    <row r="558" ht="57.0" hidden="1" customHeight="1" outlineLevel="1">
      <c r="A558" s="66" t="s">
        <v>801</v>
      </c>
      <c r="B558" s="68" t="b">
        <v>0</v>
      </c>
      <c r="C558" s="68" t="b">
        <v>0</v>
      </c>
      <c r="D558" s="69" t="s">
        <v>49</v>
      </c>
      <c r="E558" s="69" t="s">
        <v>595</v>
      </c>
      <c r="F558" s="69" t="s">
        <v>582</v>
      </c>
      <c r="G558" s="70"/>
      <c r="H558" s="71" t="b">
        <v>1</v>
      </c>
      <c r="I558" s="193"/>
      <c r="J558" s="193"/>
    </row>
    <row r="559" ht="57.0" hidden="1" customHeight="1" outlineLevel="1">
      <c r="A559" s="60" t="s">
        <v>802</v>
      </c>
      <c r="B559" s="61" t="b">
        <v>0</v>
      </c>
      <c r="C559" s="61" t="b">
        <v>0</v>
      </c>
      <c r="D559" s="62" t="s">
        <v>49</v>
      </c>
      <c r="E559" s="62" t="s">
        <v>628</v>
      </c>
      <c r="F559" s="62" t="s">
        <v>582</v>
      </c>
      <c r="G559" s="63"/>
      <c r="H559" s="53" t="b">
        <v>1</v>
      </c>
      <c r="I559" s="193"/>
      <c r="J559" s="193"/>
    </row>
    <row r="560" ht="57.0" hidden="1" customHeight="1" outlineLevel="1">
      <c r="A560" s="66" t="s">
        <v>803</v>
      </c>
      <c r="B560" s="68" t="b">
        <v>0</v>
      </c>
      <c r="C560" s="68" t="b">
        <v>0</v>
      </c>
      <c r="D560" s="69" t="s">
        <v>401</v>
      </c>
      <c r="E560" s="69" t="s">
        <v>804</v>
      </c>
      <c r="F560" s="69" t="s">
        <v>582</v>
      </c>
      <c r="G560" s="70"/>
      <c r="H560" s="71" t="b">
        <v>1</v>
      </c>
      <c r="I560" s="193"/>
      <c r="J560" s="193"/>
    </row>
    <row r="561" ht="57.0" customHeight="1" collapsed="1">
      <c r="A561" s="180" t="s">
        <v>805</v>
      </c>
      <c r="B561" s="181" t="b">
        <v>0</v>
      </c>
      <c r="C561" s="181" t="b">
        <v>0</v>
      </c>
      <c r="D561" s="182" t="s">
        <v>49</v>
      </c>
      <c r="E561" s="182" t="s">
        <v>806</v>
      </c>
      <c r="F561" s="182" t="s">
        <v>502</v>
      </c>
      <c r="G561" s="183" t="s">
        <v>807</v>
      </c>
      <c r="H561" s="187" t="b">
        <v>0</v>
      </c>
      <c r="I561" s="193"/>
      <c r="J561" s="193"/>
    </row>
    <row r="562" ht="57.0" hidden="1" customHeight="1" outlineLevel="1">
      <c r="A562" s="60" t="s">
        <v>808</v>
      </c>
      <c r="B562" s="61" t="b">
        <v>0</v>
      </c>
      <c r="C562" s="61" t="b">
        <v>0</v>
      </c>
      <c r="D562" s="62" t="s">
        <v>49</v>
      </c>
      <c r="E562" s="62" t="s">
        <v>539</v>
      </c>
      <c r="F562" s="62" t="s">
        <v>502</v>
      </c>
      <c r="G562" s="63" t="s">
        <v>809</v>
      </c>
      <c r="H562" s="53" t="b">
        <v>1</v>
      </c>
      <c r="I562" s="193"/>
      <c r="J562" s="193"/>
    </row>
    <row r="563" ht="57.0" hidden="1" customHeight="1" outlineLevel="1">
      <c r="A563" s="66" t="s">
        <v>810</v>
      </c>
      <c r="B563" s="68" t="b">
        <v>0</v>
      </c>
      <c r="C563" s="68" t="b">
        <v>0</v>
      </c>
      <c r="D563" s="69" t="s">
        <v>49</v>
      </c>
      <c r="E563" s="69" t="s">
        <v>551</v>
      </c>
      <c r="F563" s="69" t="s">
        <v>502</v>
      </c>
      <c r="G563" s="70"/>
      <c r="H563" s="71" t="b">
        <v>1</v>
      </c>
      <c r="I563" s="193"/>
      <c r="J563" s="193"/>
    </row>
    <row r="564" ht="57.0" hidden="1" customHeight="1" outlineLevel="1">
      <c r="A564" s="60" t="s">
        <v>811</v>
      </c>
      <c r="B564" s="61" t="b">
        <v>0</v>
      </c>
      <c r="C564" s="61" t="b">
        <v>0</v>
      </c>
      <c r="D564" s="62" t="s">
        <v>49</v>
      </c>
      <c r="E564" s="62" t="s">
        <v>539</v>
      </c>
      <c r="F564" s="62" t="s">
        <v>502</v>
      </c>
      <c r="G564" s="63"/>
      <c r="H564" s="53" t="b">
        <v>1</v>
      </c>
      <c r="I564" s="193"/>
      <c r="J564" s="193"/>
    </row>
    <row r="565" ht="57.0" hidden="1" customHeight="1" outlineLevel="1">
      <c r="A565" s="66" t="s">
        <v>812</v>
      </c>
      <c r="B565" s="68" t="b">
        <v>0</v>
      </c>
      <c r="C565" s="68" t="b">
        <v>0</v>
      </c>
      <c r="D565" s="69" t="s">
        <v>49</v>
      </c>
      <c r="E565" s="69" t="s">
        <v>662</v>
      </c>
      <c r="F565" s="69" t="s">
        <v>502</v>
      </c>
      <c r="G565" s="70"/>
      <c r="H565" s="71" t="b">
        <v>1</v>
      </c>
      <c r="I565" s="193"/>
      <c r="J565" s="193"/>
    </row>
    <row r="566" ht="57.0" hidden="1" customHeight="1" outlineLevel="1">
      <c r="A566" s="60" t="s">
        <v>813</v>
      </c>
      <c r="B566" s="61" t="b">
        <v>0</v>
      </c>
      <c r="C566" s="61" t="b">
        <v>0</v>
      </c>
      <c r="D566" s="62" t="s">
        <v>49</v>
      </c>
      <c r="E566" s="62" t="s">
        <v>539</v>
      </c>
      <c r="F566" s="62" t="s">
        <v>502</v>
      </c>
      <c r="G566" s="63"/>
      <c r="H566" s="53" t="b">
        <v>1</v>
      </c>
      <c r="I566" s="193"/>
      <c r="J566" s="193"/>
    </row>
    <row r="567" ht="57.0" hidden="1" customHeight="1" outlineLevel="1">
      <c r="A567" s="66" t="s">
        <v>814</v>
      </c>
      <c r="B567" s="68" t="b">
        <v>0</v>
      </c>
      <c r="C567" s="68" t="b">
        <v>0</v>
      </c>
      <c r="D567" s="69" t="s">
        <v>49</v>
      </c>
      <c r="E567" s="69" t="s">
        <v>430</v>
      </c>
      <c r="F567" s="69" t="s">
        <v>502</v>
      </c>
      <c r="G567" s="70"/>
      <c r="H567" s="71" t="b">
        <v>1</v>
      </c>
      <c r="I567" s="193"/>
      <c r="J567" s="193"/>
    </row>
    <row r="568" ht="57.0" hidden="1" customHeight="1" outlineLevel="1">
      <c r="A568" s="60" t="s">
        <v>815</v>
      </c>
      <c r="B568" s="61" t="b">
        <v>0</v>
      </c>
      <c r="C568" s="61" t="b">
        <v>0</v>
      </c>
      <c r="D568" s="62" t="s">
        <v>49</v>
      </c>
      <c r="E568" s="62" t="s">
        <v>551</v>
      </c>
      <c r="F568" s="62" t="s">
        <v>502</v>
      </c>
      <c r="G568" s="63"/>
      <c r="H568" s="53" t="b">
        <v>1</v>
      </c>
      <c r="I568" s="193"/>
      <c r="J568" s="193"/>
    </row>
    <row r="569" ht="57.0" hidden="1" customHeight="1" outlineLevel="1">
      <c r="A569" s="66" t="s">
        <v>816</v>
      </c>
      <c r="B569" s="68" t="b">
        <v>0</v>
      </c>
      <c r="C569" s="68" t="b">
        <v>0</v>
      </c>
      <c r="D569" s="69" t="s">
        <v>49</v>
      </c>
      <c r="E569" s="69" t="s">
        <v>539</v>
      </c>
      <c r="F569" s="69" t="s">
        <v>502</v>
      </c>
      <c r="G569" s="70"/>
      <c r="H569" s="71" t="b">
        <v>1</v>
      </c>
      <c r="I569" s="193"/>
      <c r="J569" s="193"/>
    </row>
    <row r="570" ht="57.0" customHeight="1">
      <c r="A570" s="60" t="s">
        <v>817</v>
      </c>
      <c r="B570" s="61" t="b">
        <v>0</v>
      </c>
      <c r="C570" s="61" t="b">
        <v>0</v>
      </c>
      <c r="D570" s="62" t="s">
        <v>425</v>
      </c>
      <c r="E570" s="62" t="s">
        <v>818</v>
      </c>
      <c r="F570" s="62" t="s">
        <v>457</v>
      </c>
      <c r="G570" s="63"/>
      <c r="H570" s="53" t="b">
        <v>0</v>
      </c>
      <c r="I570" s="193"/>
      <c r="J570" s="193"/>
    </row>
    <row r="571" ht="57.0" customHeight="1" collapsed="1">
      <c r="A571" s="180" t="s">
        <v>819</v>
      </c>
      <c r="B571" s="181" t="b">
        <v>0</v>
      </c>
      <c r="C571" s="181" t="b">
        <v>0</v>
      </c>
      <c r="D571" s="182" t="s">
        <v>500</v>
      </c>
      <c r="E571" s="182" t="s">
        <v>820</v>
      </c>
      <c r="F571" s="182" t="s">
        <v>743</v>
      </c>
      <c r="G571" s="183" t="s">
        <v>821</v>
      </c>
      <c r="H571" s="187" t="b">
        <v>0</v>
      </c>
      <c r="I571" s="193"/>
      <c r="J571" s="193"/>
    </row>
    <row r="572" ht="57.0" hidden="1" customHeight="1" outlineLevel="1">
      <c r="A572" s="60" t="s">
        <v>822</v>
      </c>
      <c r="B572" s="61" t="b">
        <v>0</v>
      </c>
      <c r="C572" s="61" t="b">
        <v>0</v>
      </c>
      <c r="D572" s="62" t="s">
        <v>49</v>
      </c>
      <c r="E572" s="62" t="s">
        <v>539</v>
      </c>
      <c r="F572" s="62" t="s">
        <v>743</v>
      </c>
      <c r="G572" s="63"/>
      <c r="H572" s="53" t="b">
        <v>1</v>
      </c>
      <c r="I572" s="193"/>
      <c r="J572" s="193"/>
    </row>
    <row r="573" ht="57.0" hidden="1" customHeight="1" outlineLevel="1">
      <c r="A573" s="66" t="s">
        <v>823</v>
      </c>
      <c r="B573" s="68" t="b">
        <v>0</v>
      </c>
      <c r="C573" s="68" t="b">
        <v>0</v>
      </c>
      <c r="D573" s="69" t="s">
        <v>49</v>
      </c>
      <c r="E573" s="69" t="s">
        <v>539</v>
      </c>
      <c r="F573" s="69" t="s">
        <v>824</v>
      </c>
      <c r="G573" s="70"/>
      <c r="H573" s="71" t="b">
        <v>1</v>
      </c>
      <c r="I573" s="193"/>
      <c r="J573" s="193"/>
    </row>
    <row r="574" ht="57.0" hidden="1" customHeight="1" outlineLevel="1">
      <c r="A574" s="60" t="s">
        <v>825</v>
      </c>
      <c r="B574" s="61" t="b">
        <v>0</v>
      </c>
      <c r="C574" s="61" t="b">
        <v>0</v>
      </c>
      <c r="D574" s="62" t="s">
        <v>49</v>
      </c>
      <c r="E574" s="62" t="s">
        <v>539</v>
      </c>
      <c r="F574" s="62" t="s">
        <v>824</v>
      </c>
      <c r="G574" s="63"/>
      <c r="H574" s="53" t="b">
        <v>1</v>
      </c>
      <c r="I574" s="193"/>
      <c r="J574" s="193"/>
    </row>
    <row r="575" ht="57.0" hidden="1" customHeight="1" outlineLevel="1">
      <c r="A575" s="66" t="s">
        <v>826</v>
      </c>
      <c r="B575" s="68" t="b">
        <v>0</v>
      </c>
      <c r="C575" s="68" t="b">
        <v>0</v>
      </c>
      <c r="D575" s="69" t="s">
        <v>49</v>
      </c>
      <c r="E575" s="69" t="s">
        <v>539</v>
      </c>
      <c r="F575" s="69" t="s">
        <v>824</v>
      </c>
      <c r="G575" s="70"/>
      <c r="H575" s="71" t="b">
        <v>1</v>
      </c>
      <c r="I575" s="193"/>
      <c r="J575" s="193"/>
    </row>
    <row r="576" ht="57.0" hidden="1" customHeight="1" outlineLevel="1">
      <c r="A576" s="60" t="s">
        <v>827</v>
      </c>
      <c r="B576" s="61" t="b">
        <v>0</v>
      </c>
      <c r="C576" s="61" t="b">
        <v>0</v>
      </c>
      <c r="D576" s="62" t="s">
        <v>49</v>
      </c>
      <c r="E576" s="62" t="s">
        <v>539</v>
      </c>
      <c r="F576" s="62" t="s">
        <v>743</v>
      </c>
      <c r="G576" s="63"/>
      <c r="H576" s="53" t="b">
        <v>1</v>
      </c>
      <c r="I576" s="193"/>
      <c r="J576" s="193"/>
    </row>
    <row r="577" ht="57.0" hidden="1" customHeight="1" outlineLevel="1">
      <c r="A577" s="66" t="s">
        <v>828</v>
      </c>
      <c r="B577" s="68" t="b">
        <v>0</v>
      </c>
      <c r="C577" s="68" t="b">
        <v>0</v>
      </c>
      <c r="D577" s="69" t="s">
        <v>49</v>
      </c>
      <c r="E577" s="69" t="s">
        <v>539</v>
      </c>
      <c r="F577" s="69" t="s">
        <v>824</v>
      </c>
      <c r="G577" s="70"/>
      <c r="H577" s="71" t="b">
        <v>1</v>
      </c>
      <c r="I577" s="193"/>
      <c r="J577" s="193"/>
    </row>
    <row r="578" ht="57.0" hidden="1" customHeight="1" outlineLevel="1">
      <c r="A578" s="60" t="s">
        <v>829</v>
      </c>
      <c r="B578" s="61" t="b">
        <v>0</v>
      </c>
      <c r="C578" s="61" t="b">
        <v>0</v>
      </c>
      <c r="D578" s="62" t="s">
        <v>49</v>
      </c>
      <c r="E578" s="62" t="s">
        <v>539</v>
      </c>
      <c r="F578" s="62" t="s">
        <v>824</v>
      </c>
      <c r="G578" s="63"/>
      <c r="H578" s="53" t="b">
        <v>1</v>
      </c>
      <c r="I578" s="193"/>
      <c r="J578" s="193"/>
    </row>
    <row r="579" ht="57.0" hidden="1" customHeight="1" outlineLevel="1">
      <c r="A579" s="66" t="s">
        <v>830</v>
      </c>
      <c r="B579" s="68" t="b">
        <v>0</v>
      </c>
      <c r="C579" s="68" t="b">
        <v>0</v>
      </c>
      <c r="D579" s="69" t="s">
        <v>49</v>
      </c>
      <c r="E579" s="69" t="s">
        <v>539</v>
      </c>
      <c r="F579" s="69" t="s">
        <v>824</v>
      </c>
      <c r="G579" s="70"/>
      <c r="H579" s="71" t="b">
        <v>1</v>
      </c>
      <c r="I579" s="193"/>
      <c r="J579" s="193"/>
    </row>
    <row r="580" ht="57.0" hidden="1" customHeight="1" outlineLevel="1">
      <c r="A580" s="60" t="s">
        <v>831</v>
      </c>
      <c r="B580" s="61" t="b">
        <v>0</v>
      </c>
      <c r="C580" s="61" t="b">
        <v>0</v>
      </c>
      <c r="D580" s="62" t="s">
        <v>49</v>
      </c>
      <c r="E580" s="62" t="s">
        <v>539</v>
      </c>
      <c r="F580" s="62" t="s">
        <v>824</v>
      </c>
      <c r="G580" s="63"/>
      <c r="H580" s="53" t="b">
        <v>1</v>
      </c>
      <c r="I580" s="193"/>
      <c r="J580" s="193"/>
    </row>
    <row r="581" ht="57.0" hidden="1" customHeight="1" outlineLevel="1">
      <c r="A581" s="66" t="s">
        <v>832</v>
      </c>
      <c r="B581" s="68" t="b">
        <v>0</v>
      </c>
      <c r="C581" s="68" t="b">
        <v>0</v>
      </c>
      <c r="D581" s="69" t="s">
        <v>49</v>
      </c>
      <c r="E581" s="69" t="s">
        <v>539</v>
      </c>
      <c r="F581" s="69" t="s">
        <v>824</v>
      </c>
      <c r="G581" s="70"/>
      <c r="H581" s="71" t="b">
        <v>1</v>
      </c>
      <c r="I581" s="193"/>
      <c r="J581" s="193"/>
    </row>
    <row r="582" ht="57.0" hidden="1" customHeight="1" outlineLevel="1">
      <c r="A582" s="60" t="s">
        <v>833</v>
      </c>
      <c r="B582" s="61" t="b">
        <v>0</v>
      </c>
      <c r="C582" s="61" t="b">
        <v>0</v>
      </c>
      <c r="D582" s="62" t="s">
        <v>49</v>
      </c>
      <c r="E582" s="62" t="s">
        <v>539</v>
      </c>
      <c r="F582" s="62" t="s">
        <v>502</v>
      </c>
      <c r="G582" s="63"/>
      <c r="H582" s="53" t="b">
        <v>1</v>
      </c>
      <c r="I582" s="193"/>
      <c r="J582" s="193"/>
    </row>
    <row r="583" ht="57.0" hidden="1" customHeight="1" outlineLevel="1">
      <c r="A583" s="66" t="s">
        <v>834</v>
      </c>
      <c r="B583" s="68" t="b">
        <v>0</v>
      </c>
      <c r="C583" s="68" t="b">
        <v>0</v>
      </c>
      <c r="D583" s="69" t="s">
        <v>49</v>
      </c>
      <c r="E583" s="69" t="s">
        <v>430</v>
      </c>
      <c r="F583" s="69" t="s">
        <v>502</v>
      </c>
      <c r="G583" s="70"/>
      <c r="H583" s="71" t="b">
        <v>1</v>
      </c>
      <c r="I583" s="193"/>
      <c r="J583" s="193"/>
    </row>
    <row r="584" ht="57.0" hidden="1" customHeight="1" outlineLevel="1">
      <c r="A584" s="60" t="s">
        <v>835</v>
      </c>
      <c r="B584" s="61" t="b">
        <v>0</v>
      </c>
      <c r="C584" s="61" t="b">
        <v>0</v>
      </c>
      <c r="D584" s="62" t="s">
        <v>49</v>
      </c>
      <c r="E584" s="62" t="s">
        <v>539</v>
      </c>
      <c r="F584" s="62" t="s">
        <v>502</v>
      </c>
      <c r="G584" s="63"/>
      <c r="H584" s="53" t="b">
        <v>1</v>
      </c>
      <c r="I584" s="193"/>
      <c r="J584" s="193"/>
    </row>
    <row r="585" ht="57.0" hidden="1" customHeight="1" outlineLevel="1">
      <c r="A585" s="66" t="s">
        <v>836</v>
      </c>
      <c r="B585" s="68" t="b">
        <v>0</v>
      </c>
      <c r="C585" s="68" t="b">
        <v>0</v>
      </c>
      <c r="D585" s="69" t="s">
        <v>49</v>
      </c>
      <c r="E585" s="69" t="s">
        <v>539</v>
      </c>
      <c r="F585" s="69" t="s">
        <v>502</v>
      </c>
      <c r="G585" s="70"/>
      <c r="H585" s="71" t="b">
        <v>1</v>
      </c>
      <c r="I585" s="193"/>
      <c r="J585" s="193"/>
    </row>
    <row r="586" ht="57.0" hidden="1" customHeight="1" outlineLevel="1">
      <c r="A586" s="60" t="s">
        <v>837</v>
      </c>
      <c r="B586" s="61" t="b">
        <v>0</v>
      </c>
      <c r="C586" s="61" t="b">
        <v>0</v>
      </c>
      <c r="D586" s="62" t="s">
        <v>49</v>
      </c>
      <c r="E586" s="62" t="s">
        <v>539</v>
      </c>
      <c r="F586" s="62" t="s">
        <v>502</v>
      </c>
      <c r="G586" s="63"/>
      <c r="H586" s="53" t="b">
        <v>1</v>
      </c>
      <c r="I586" s="193"/>
      <c r="J586" s="193"/>
    </row>
    <row r="587" ht="57.0" hidden="1" customHeight="1" outlineLevel="1">
      <c r="A587" s="66" t="s">
        <v>838</v>
      </c>
      <c r="B587" s="68" t="b">
        <v>0</v>
      </c>
      <c r="C587" s="68" t="b">
        <v>0</v>
      </c>
      <c r="D587" s="69" t="s">
        <v>49</v>
      </c>
      <c r="E587" s="69" t="s">
        <v>539</v>
      </c>
      <c r="F587" s="69" t="s">
        <v>502</v>
      </c>
      <c r="G587" s="70"/>
      <c r="H587" s="71" t="b">
        <v>1</v>
      </c>
      <c r="I587" s="193"/>
      <c r="J587" s="193"/>
    </row>
    <row r="588" ht="57.0" hidden="1" customHeight="1" outlineLevel="1">
      <c r="A588" s="60" t="s">
        <v>839</v>
      </c>
      <c r="B588" s="61" t="b">
        <v>0</v>
      </c>
      <c r="C588" s="61" t="b">
        <v>0</v>
      </c>
      <c r="D588" s="62" t="s">
        <v>49</v>
      </c>
      <c r="E588" s="62" t="s">
        <v>539</v>
      </c>
      <c r="F588" s="62" t="s">
        <v>502</v>
      </c>
      <c r="G588" s="63"/>
      <c r="H588" s="53" t="b">
        <v>1</v>
      </c>
      <c r="I588" s="193"/>
      <c r="J588" s="193"/>
    </row>
    <row r="589" ht="57.0" hidden="1" customHeight="1" outlineLevel="1">
      <c r="A589" s="66" t="s">
        <v>840</v>
      </c>
      <c r="B589" s="68" t="b">
        <v>0</v>
      </c>
      <c r="C589" s="68" t="b">
        <v>0</v>
      </c>
      <c r="D589" s="69" t="s">
        <v>49</v>
      </c>
      <c r="E589" s="69" t="s">
        <v>539</v>
      </c>
      <c r="F589" s="69" t="s">
        <v>502</v>
      </c>
      <c r="G589" s="70"/>
      <c r="H589" s="71" t="b">
        <v>1</v>
      </c>
      <c r="I589" s="193"/>
      <c r="J589" s="193"/>
    </row>
    <row r="590" ht="57.0" hidden="1" customHeight="1" outlineLevel="1">
      <c r="A590" s="60" t="s">
        <v>841</v>
      </c>
      <c r="B590" s="61" t="b">
        <v>0</v>
      </c>
      <c r="C590" s="61" t="b">
        <v>0</v>
      </c>
      <c r="D590" s="62" t="s">
        <v>49</v>
      </c>
      <c r="E590" s="62" t="s">
        <v>539</v>
      </c>
      <c r="F590" s="62" t="s">
        <v>502</v>
      </c>
      <c r="G590" s="63"/>
      <c r="H590" s="53" t="b">
        <v>1</v>
      </c>
      <c r="I590" s="193"/>
      <c r="J590" s="193"/>
    </row>
    <row r="591" ht="57.0" hidden="1" customHeight="1" outlineLevel="1">
      <c r="A591" s="66" t="s">
        <v>842</v>
      </c>
      <c r="B591" s="68" t="b">
        <v>0</v>
      </c>
      <c r="C591" s="68" t="b">
        <v>0</v>
      </c>
      <c r="D591" s="69" t="s">
        <v>49</v>
      </c>
      <c r="E591" s="69" t="s">
        <v>539</v>
      </c>
      <c r="F591" s="69" t="s">
        <v>502</v>
      </c>
      <c r="G591" s="70"/>
      <c r="H591" s="71" t="b">
        <v>1</v>
      </c>
      <c r="I591" s="193"/>
      <c r="J591" s="193"/>
    </row>
    <row r="592" ht="57.0" hidden="1" customHeight="1" outlineLevel="1">
      <c r="A592" s="60" t="s">
        <v>843</v>
      </c>
      <c r="B592" s="61" t="b">
        <v>0</v>
      </c>
      <c r="C592" s="61" t="b">
        <v>0</v>
      </c>
      <c r="D592" s="62" t="s">
        <v>49</v>
      </c>
      <c r="E592" s="62" t="s">
        <v>539</v>
      </c>
      <c r="F592" s="62" t="s">
        <v>502</v>
      </c>
      <c r="G592" s="63"/>
      <c r="H592" s="53" t="b">
        <v>1</v>
      </c>
      <c r="I592" s="193"/>
      <c r="J592" s="193"/>
    </row>
    <row r="593" ht="57.0" hidden="1" customHeight="1" outlineLevel="1">
      <c r="A593" s="66" t="s">
        <v>844</v>
      </c>
      <c r="B593" s="68" t="b">
        <v>0</v>
      </c>
      <c r="C593" s="68" t="b">
        <v>0</v>
      </c>
      <c r="D593" s="69" t="s">
        <v>401</v>
      </c>
      <c r="E593" s="69" t="s">
        <v>539</v>
      </c>
      <c r="F593" s="69" t="s">
        <v>502</v>
      </c>
      <c r="G593" s="70" t="s">
        <v>845</v>
      </c>
      <c r="H593" s="71" t="b">
        <v>1</v>
      </c>
      <c r="I593" s="193"/>
      <c r="J593" s="193"/>
    </row>
    <row r="594" ht="57.0" customHeight="1">
      <c r="A594" s="60" t="s">
        <v>846</v>
      </c>
      <c r="B594" s="61" t="b">
        <v>0</v>
      </c>
      <c r="C594" s="61" t="b">
        <v>0</v>
      </c>
      <c r="D594" s="62" t="s">
        <v>49</v>
      </c>
      <c r="E594" s="62" t="s">
        <v>847</v>
      </c>
      <c r="F594" s="62" t="s">
        <v>457</v>
      </c>
      <c r="G594" s="63"/>
      <c r="H594" s="53" t="b">
        <v>0</v>
      </c>
      <c r="I594" s="193"/>
      <c r="J594" s="193"/>
    </row>
    <row r="595" ht="57.0" customHeight="1" collapsed="1">
      <c r="A595" s="180" t="s">
        <v>848</v>
      </c>
      <c r="B595" s="181" t="b">
        <v>0</v>
      </c>
      <c r="C595" s="181" t="b">
        <v>0</v>
      </c>
      <c r="D595" s="182" t="s">
        <v>849</v>
      </c>
      <c r="E595" s="182" t="s">
        <v>850</v>
      </c>
      <c r="F595" s="182" t="s">
        <v>851</v>
      </c>
      <c r="G595" s="183" t="s">
        <v>852</v>
      </c>
      <c r="H595" s="187" t="b">
        <v>0</v>
      </c>
      <c r="I595" s="193"/>
      <c r="J595" s="193"/>
    </row>
    <row r="596" ht="57.0" hidden="1" customHeight="1" outlineLevel="1">
      <c r="A596" s="60" t="s">
        <v>853</v>
      </c>
      <c r="B596" s="61" t="b">
        <v>0</v>
      </c>
      <c r="C596" s="61" t="b">
        <v>0</v>
      </c>
      <c r="D596" s="62" t="s">
        <v>401</v>
      </c>
      <c r="E596" s="62" t="s">
        <v>430</v>
      </c>
      <c r="F596" s="62" t="s">
        <v>851</v>
      </c>
      <c r="G596" s="63"/>
      <c r="H596" s="53" t="b">
        <v>1</v>
      </c>
      <c r="I596" s="193"/>
      <c r="J596" s="193"/>
    </row>
    <row r="597" ht="57.0" hidden="1" customHeight="1" outlineLevel="1">
      <c r="A597" s="66" t="s">
        <v>854</v>
      </c>
      <c r="B597" s="68" t="b">
        <v>0</v>
      </c>
      <c r="C597" s="68" t="b">
        <v>0</v>
      </c>
      <c r="D597" s="69" t="s">
        <v>49</v>
      </c>
      <c r="E597" s="69" t="s">
        <v>539</v>
      </c>
      <c r="F597" s="69" t="s">
        <v>851</v>
      </c>
      <c r="G597" s="70"/>
      <c r="H597" s="71" t="b">
        <v>1</v>
      </c>
      <c r="I597" s="193"/>
      <c r="J597" s="193"/>
    </row>
    <row r="598" ht="57.0" hidden="1" customHeight="1" outlineLevel="1">
      <c r="A598" s="60" t="s">
        <v>855</v>
      </c>
      <c r="B598" s="61" t="b">
        <v>0</v>
      </c>
      <c r="C598" s="61" t="b">
        <v>0</v>
      </c>
      <c r="D598" s="62" t="s">
        <v>49</v>
      </c>
      <c r="E598" s="62" t="s">
        <v>539</v>
      </c>
      <c r="F598" s="62" t="s">
        <v>851</v>
      </c>
      <c r="G598" s="63"/>
      <c r="H598" s="53" t="b">
        <v>1</v>
      </c>
      <c r="I598" s="193"/>
      <c r="J598" s="193"/>
    </row>
    <row r="599" ht="57.0" hidden="1" customHeight="1" outlineLevel="1">
      <c r="A599" s="66" t="s">
        <v>856</v>
      </c>
      <c r="B599" s="68" t="b">
        <v>0</v>
      </c>
      <c r="C599" s="68" t="b">
        <v>0</v>
      </c>
      <c r="D599" s="69" t="s">
        <v>49</v>
      </c>
      <c r="E599" s="69" t="s">
        <v>539</v>
      </c>
      <c r="F599" s="69" t="s">
        <v>851</v>
      </c>
      <c r="G599" s="70"/>
      <c r="H599" s="71" t="b">
        <v>1</v>
      </c>
      <c r="I599" s="193"/>
      <c r="J599" s="193"/>
    </row>
    <row r="600" ht="57.0" hidden="1" customHeight="1" outlineLevel="1">
      <c r="A600" s="60" t="s">
        <v>857</v>
      </c>
      <c r="B600" s="61" t="b">
        <v>0</v>
      </c>
      <c r="C600" s="61" t="b">
        <v>0</v>
      </c>
      <c r="D600" s="62" t="s">
        <v>49</v>
      </c>
      <c r="E600" s="62" t="s">
        <v>539</v>
      </c>
      <c r="F600" s="62" t="s">
        <v>851</v>
      </c>
      <c r="G600" s="63"/>
      <c r="H600" s="53" t="b">
        <v>1</v>
      </c>
      <c r="I600" s="193"/>
      <c r="J600" s="193"/>
    </row>
    <row r="601" ht="57.0" hidden="1" customHeight="1" outlineLevel="1">
      <c r="A601" s="66" t="s">
        <v>858</v>
      </c>
      <c r="B601" s="68" t="b">
        <v>0</v>
      </c>
      <c r="C601" s="68" t="b">
        <v>0</v>
      </c>
      <c r="D601" s="69" t="s">
        <v>49</v>
      </c>
      <c r="E601" s="69" t="s">
        <v>539</v>
      </c>
      <c r="F601" s="69" t="s">
        <v>851</v>
      </c>
      <c r="G601" s="70"/>
      <c r="H601" s="71" t="b">
        <v>1</v>
      </c>
      <c r="I601" s="193"/>
      <c r="J601" s="193"/>
    </row>
    <row r="602" ht="57.0" hidden="1" customHeight="1" outlineLevel="1">
      <c r="A602" s="60" t="s">
        <v>859</v>
      </c>
      <c r="B602" s="61" t="b">
        <v>0</v>
      </c>
      <c r="C602" s="61" t="b">
        <v>0</v>
      </c>
      <c r="D602" s="62" t="s">
        <v>49</v>
      </c>
      <c r="E602" s="62" t="s">
        <v>539</v>
      </c>
      <c r="F602" s="62" t="s">
        <v>851</v>
      </c>
      <c r="G602" s="63"/>
      <c r="H602" s="53" t="b">
        <v>1</v>
      </c>
      <c r="I602" s="193"/>
      <c r="J602" s="193"/>
    </row>
    <row r="603" ht="57.0" hidden="1" customHeight="1" outlineLevel="1">
      <c r="A603" s="66" t="s">
        <v>860</v>
      </c>
      <c r="B603" s="68" t="b">
        <v>0</v>
      </c>
      <c r="C603" s="68" t="b">
        <v>0</v>
      </c>
      <c r="D603" s="69" t="s">
        <v>49</v>
      </c>
      <c r="E603" s="69" t="s">
        <v>539</v>
      </c>
      <c r="F603" s="69" t="s">
        <v>851</v>
      </c>
      <c r="G603" s="70"/>
      <c r="H603" s="71" t="b">
        <v>1</v>
      </c>
      <c r="I603" s="193"/>
      <c r="J603" s="193"/>
    </row>
    <row r="604" ht="57.0" hidden="1" customHeight="1" outlineLevel="1">
      <c r="A604" s="60" t="s">
        <v>861</v>
      </c>
      <c r="B604" s="61" t="b">
        <v>0</v>
      </c>
      <c r="C604" s="61" t="b">
        <v>0</v>
      </c>
      <c r="D604" s="62" t="s">
        <v>49</v>
      </c>
      <c r="E604" s="62" t="s">
        <v>539</v>
      </c>
      <c r="F604" s="62" t="s">
        <v>851</v>
      </c>
      <c r="G604" s="63"/>
      <c r="H604" s="53" t="b">
        <v>1</v>
      </c>
      <c r="I604" s="193"/>
      <c r="J604" s="193"/>
    </row>
    <row r="605" ht="57.0" hidden="1" customHeight="1" outlineLevel="1">
      <c r="A605" s="66" t="s">
        <v>862</v>
      </c>
      <c r="B605" s="68" t="b">
        <v>0</v>
      </c>
      <c r="C605" s="68" t="b">
        <v>0</v>
      </c>
      <c r="D605" s="69" t="s">
        <v>49</v>
      </c>
      <c r="E605" s="69" t="s">
        <v>539</v>
      </c>
      <c r="F605" s="69" t="s">
        <v>851</v>
      </c>
      <c r="G605" s="70"/>
      <c r="H605" s="71" t="b">
        <v>1</v>
      </c>
      <c r="I605" s="193"/>
      <c r="J605" s="193"/>
    </row>
    <row r="606" ht="57.0" hidden="1" customHeight="1" outlineLevel="1">
      <c r="A606" s="60" t="s">
        <v>863</v>
      </c>
      <c r="B606" s="61" t="b">
        <v>0</v>
      </c>
      <c r="C606" s="61" t="b">
        <v>0</v>
      </c>
      <c r="D606" s="62" t="s">
        <v>49</v>
      </c>
      <c r="E606" s="62" t="s">
        <v>539</v>
      </c>
      <c r="F606" s="62" t="s">
        <v>851</v>
      </c>
      <c r="G606" s="63"/>
      <c r="H606" s="53" t="b">
        <v>1</v>
      </c>
      <c r="I606" s="193"/>
      <c r="J606" s="193"/>
    </row>
    <row r="607" ht="57.0" hidden="1" customHeight="1" outlineLevel="1">
      <c r="A607" s="66" t="s">
        <v>864</v>
      </c>
      <c r="B607" s="68" t="b">
        <v>0</v>
      </c>
      <c r="C607" s="68" t="b">
        <v>0</v>
      </c>
      <c r="D607" s="69" t="s">
        <v>49</v>
      </c>
      <c r="E607" s="69" t="s">
        <v>539</v>
      </c>
      <c r="F607" s="69" t="s">
        <v>851</v>
      </c>
      <c r="G607" s="70"/>
      <c r="H607" s="71" t="b">
        <v>1</v>
      </c>
      <c r="I607" s="193"/>
      <c r="J607" s="193"/>
    </row>
    <row r="608" ht="57.0" hidden="1" customHeight="1" outlineLevel="1">
      <c r="A608" s="60" t="s">
        <v>865</v>
      </c>
      <c r="B608" s="61" t="b">
        <v>0</v>
      </c>
      <c r="C608" s="61" t="b">
        <v>0</v>
      </c>
      <c r="D608" s="62" t="s">
        <v>401</v>
      </c>
      <c r="E608" s="62" t="s">
        <v>430</v>
      </c>
      <c r="F608" s="62" t="s">
        <v>851</v>
      </c>
      <c r="G608" s="63"/>
      <c r="H608" s="53" t="b">
        <v>1</v>
      </c>
      <c r="I608" s="193"/>
      <c r="J608" s="193"/>
    </row>
    <row r="609" ht="57.0" customHeight="1" collapsed="1">
      <c r="A609" s="60" t="s">
        <v>866</v>
      </c>
      <c r="B609" s="61" t="b">
        <v>0</v>
      </c>
      <c r="C609" s="61" t="b">
        <v>0</v>
      </c>
      <c r="D609" s="62" t="s">
        <v>49</v>
      </c>
      <c r="E609" s="62" t="s">
        <v>867</v>
      </c>
      <c r="F609" s="62" t="s">
        <v>582</v>
      </c>
      <c r="G609" s="63"/>
      <c r="H609" s="53" t="b">
        <v>0</v>
      </c>
      <c r="I609" s="193"/>
      <c r="J609" s="193"/>
    </row>
    <row r="610" ht="57.0" hidden="1" customHeight="1" outlineLevel="1">
      <c r="A610" s="60" t="s">
        <v>868</v>
      </c>
      <c r="B610" s="61" t="b">
        <v>0</v>
      </c>
      <c r="C610" s="61" t="b">
        <v>0</v>
      </c>
      <c r="D610" s="62" t="s">
        <v>49</v>
      </c>
      <c r="E610" s="62" t="s">
        <v>595</v>
      </c>
      <c r="F610" s="62" t="s">
        <v>582</v>
      </c>
      <c r="G610" s="63"/>
      <c r="H610" s="53" t="b">
        <v>1</v>
      </c>
      <c r="I610" s="193"/>
      <c r="J610" s="193"/>
    </row>
    <row r="611" ht="57.0" hidden="1" customHeight="1" outlineLevel="1">
      <c r="A611" s="66" t="s">
        <v>869</v>
      </c>
      <c r="B611" s="68" t="b">
        <v>0</v>
      </c>
      <c r="C611" s="68" t="b">
        <v>0</v>
      </c>
      <c r="D611" s="69" t="s">
        <v>49</v>
      </c>
      <c r="E611" s="69" t="s">
        <v>591</v>
      </c>
      <c r="F611" s="69" t="s">
        <v>582</v>
      </c>
      <c r="G611" s="70"/>
      <c r="H611" s="71" t="b">
        <v>1</v>
      </c>
      <c r="I611" s="193"/>
      <c r="J611" s="193"/>
    </row>
    <row r="612" ht="57.0" hidden="1" customHeight="1" outlineLevel="1">
      <c r="A612" s="60" t="s">
        <v>870</v>
      </c>
      <c r="B612" s="61" t="b">
        <v>0</v>
      </c>
      <c r="C612" s="61" t="b">
        <v>0</v>
      </c>
      <c r="D612" s="62" t="s">
        <v>49</v>
      </c>
      <c r="E612" s="62" t="s">
        <v>585</v>
      </c>
      <c r="F612" s="62" t="s">
        <v>582</v>
      </c>
      <c r="G612" s="63"/>
      <c r="H612" s="53" t="b">
        <v>1</v>
      </c>
      <c r="I612" s="193"/>
      <c r="J612" s="193"/>
    </row>
    <row r="613" ht="57.0" hidden="1" customHeight="1" outlineLevel="1">
      <c r="A613" s="66" t="s">
        <v>871</v>
      </c>
      <c r="B613" s="68" t="b">
        <v>0</v>
      </c>
      <c r="C613" s="68" t="b">
        <v>0</v>
      </c>
      <c r="D613" s="69" t="s">
        <v>49</v>
      </c>
      <c r="E613" s="69" t="s">
        <v>588</v>
      </c>
      <c r="F613" s="69" t="s">
        <v>582</v>
      </c>
      <c r="G613" s="70"/>
      <c r="H613" s="71" t="b">
        <v>1</v>
      </c>
      <c r="I613" s="193"/>
      <c r="J613" s="193"/>
    </row>
    <row r="614" ht="57.0" hidden="1" customHeight="1" outlineLevel="1">
      <c r="A614" s="60" t="s">
        <v>872</v>
      </c>
      <c r="B614" s="61" t="b">
        <v>0</v>
      </c>
      <c r="C614" s="61" t="b">
        <v>0</v>
      </c>
      <c r="D614" s="62" t="s">
        <v>49</v>
      </c>
      <c r="E614" s="62" t="s">
        <v>678</v>
      </c>
      <c r="F614" s="62" t="s">
        <v>582</v>
      </c>
      <c r="G614" s="63"/>
      <c r="H614" s="53" t="b">
        <v>1</v>
      </c>
      <c r="I614" s="193"/>
      <c r="J614" s="193"/>
    </row>
    <row r="615" ht="57.0" hidden="1" customHeight="1" outlineLevel="1">
      <c r="A615" s="66" t="s">
        <v>873</v>
      </c>
      <c r="B615" s="68" t="b">
        <v>0</v>
      </c>
      <c r="C615" s="68" t="b">
        <v>0</v>
      </c>
      <c r="D615" s="69" t="s">
        <v>49</v>
      </c>
      <c r="E615" s="69" t="s">
        <v>618</v>
      </c>
      <c r="F615" s="69" t="s">
        <v>582</v>
      </c>
      <c r="G615" s="70"/>
      <c r="H615" s="71" t="b">
        <v>1</v>
      </c>
      <c r="I615" s="193"/>
      <c r="J615" s="193"/>
    </row>
    <row r="616" ht="57.0" hidden="1" customHeight="1" outlineLevel="1">
      <c r="A616" s="60" t="s">
        <v>874</v>
      </c>
      <c r="B616" s="61" t="b">
        <v>0</v>
      </c>
      <c r="C616" s="61" t="b">
        <v>0</v>
      </c>
      <c r="D616" s="62" t="s">
        <v>49</v>
      </c>
      <c r="E616" s="62" t="s">
        <v>618</v>
      </c>
      <c r="F616" s="62" t="s">
        <v>582</v>
      </c>
      <c r="G616" s="63"/>
      <c r="H616" s="53" t="b">
        <v>1</v>
      </c>
      <c r="I616" s="193"/>
      <c r="J616" s="193"/>
    </row>
    <row r="617" ht="57.0" hidden="1" customHeight="1" outlineLevel="1">
      <c r="A617" s="66" t="s">
        <v>875</v>
      </c>
      <c r="B617" s="68" t="b">
        <v>0</v>
      </c>
      <c r="C617" s="68" t="b">
        <v>0</v>
      </c>
      <c r="D617" s="69" t="s">
        <v>49</v>
      </c>
      <c r="E617" s="69" t="s">
        <v>620</v>
      </c>
      <c r="F617" s="69" t="s">
        <v>582</v>
      </c>
      <c r="G617" s="70"/>
      <c r="H617" s="71" t="b">
        <v>1</v>
      </c>
      <c r="I617" s="193"/>
      <c r="J617" s="193"/>
    </row>
    <row r="618" ht="57.0" hidden="1" customHeight="1" outlineLevel="1">
      <c r="A618" s="60" t="s">
        <v>876</v>
      </c>
      <c r="B618" s="61" t="b">
        <v>0</v>
      </c>
      <c r="C618" s="61" t="b">
        <v>0</v>
      </c>
      <c r="D618" s="62" t="s">
        <v>49</v>
      </c>
      <c r="E618" s="62" t="s">
        <v>600</v>
      </c>
      <c r="F618" s="62" t="s">
        <v>582</v>
      </c>
      <c r="G618" s="63"/>
      <c r="H618" s="53" t="b">
        <v>1</v>
      </c>
      <c r="I618" s="193"/>
      <c r="J618" s="193"/>
    </row>
    <row r="619" ht="57.0" hidden="1" customHeight="1" outlineLevel="1">
      <c r="A619" s="66" t="s">
        <v>877</v>
      </c>
      <c r="B619" s="68" t="b">
        <v>0</v>
      </c>
      <c r="C619" s="68" t="b">
        <v>0</v>
      </c>
      <c r="D619" s="69" t="s">
        <v>49</v>
      </c>
      <c r="E619" s="69" t="s">
        <v>585</v>
      </c>
      <c r="F619" s="69" t="s">
        <v>582</v>
      </c>
      <c r="G619" s="70"/>
      <c r="H619" s="71" t="b">
        <v>1</v>
      </c>
      <c r="I619" s="193"/>
      <c r="J619" s="193"/>
    </row>
    <row r="620" ht="57.0" hidden="1" customHeight="1" outlineLevel="1">
      <c r="A620" s="60" t="s">
        <v>878</v>
      </c>
      <c r="B620" s="61" t="b">
        <v>0</v>
      </c>
      <c r="C620" s="61" t="b">
        <v>0</v>
      </c>
      <c r="D620" s="62" t="s">
        <v>49</v>
      </c>
      <c r="E620" s="62" t="s">
        <v>678</v>
      </c>
      <c r="F620" s="62" t="s">
        <v>582</v>
      </c>
      <c r="G620" s="63"/>
      <c r="H620" s="53" t="b">
        <v>1</v>
      </c>
      <c r="I620" s="193"/>
      <c r="J620" s="193"/>
    </row>
    <row r="621" ht="57.0" hidden="1" customHeight="1" outlineLevel="1">
      <c r="A621" s="66" t="s">
        <v>879</v>
      </c>
      <c r="B621" s="68" t="b">
        <v>0</v>
      </c>
      <c r="C621" s="68" t="b">
        <v>0</v>
      </c>
      <c r="D621" s="69" t="s">
        <v>49</v>
      </c>
      <c r="E621" s="69" t="s">
        <v>678</v>
      </c>
      <c r="F621" s="69" t="s">
        <v>582</v>
      </c>
      <c r="G621" s="70"/>
      <c r="H621" s="71" t="b">
        <v>1</v>
      </c>
      <c r="I621" s="193"/>
      <c r="J621" s="193"/>
    </row>
    <row r="622" ht="57.0" hidden="1" customHeight="1" outlineLevel="1">
      <c r="A622" s="60" t="s">
        <v>880</v>
      </c>
      <c r="B622" s="61" t="b">
        <v>0</v>
      </c>
      <c r="C622" s="61" t="b">
        <v>0</v>
      </c>
      <c r="D622" s="62" t="s">
        <v>49</v>
      </c>
      <c r="E622" s="62" t="s">
        <v>593</v>
      </c>
      <c r="F622" s="62" t="s">
        <v>582</v>
      </c>
      <c r="G622" s="63"/>
      <c r="H622" s="53" t="b">
        <v>1</v>
      </c>
      <c r="I622" s="193"/>
      <c r="J622" s="193"/>
    </row>
    <row r="623" ht="57.0" customHeight="1" collapsed="1">
      <c r="A623" s="180" t="s">
        <v>881</v>
      </c>
      <c r="B623" s="181" t="b">
        <v>0</v>
      </c>
      <c r="C623" s="181" t="b">
        <v>0</v>
      </c>
      <c r="D623" s="182" t="s">
        <v>49</v>
      </c>
      <c r="E623" s="182" t="s">
        <v>882</v>
      </c>
      <c r="F623" s="182" t="s">
        <v>502</v>
      </c>
      <c r="G623" s="183"/>
      <c r="H623" s="187" t="b">
        <v>0</v>
      </c>
      <c r="I623" s="193"/>
      <c r="J623" s="193"/>
    </row>
    <row r="624" ht="57.0" hidden="1" customHeight="1" outlineLevel="1">
      <c r="A624" s="60" t="s">
        <v>883</v>
      </c>
      <c r="B624" s="61" t="b">
        <v>0</v>
      </c>
      <c r="C624" s="61" t="b">
        <v>0</v>
      </c>
      <c r="D624" s="62" t="s">
        <v>49</v>
      </c>
      <c r="E624" s="62" t="s">
        <v>585</v>
      </c>
      <c r="F624" s="62" t="s">
        <v>502</v>
      </c>
      <c r="G624" s="63"/>
      <c r="H624" s="53" t="b">
        <v>1</v>
      </c>
      <c r="I624" s="193"/>
      <c r="J624" s="193"/>
    </row>
    <row r="625" ht="57.0" hidden="1" customHeight="1" outlineLevel="1">
      <c r="A625" s="66" t="s">
        <v>884</v>
      </c>
      <c r="B625" s="68" t="b">
        <v>0</v>
      </c>
      <c r="C625" s="68" t="b">
        <v>0</v>
      </c>
      <c r="D625" s="69" t="s">
        <v>49</v>
      </c>
      <c r="E625" s="69" t="s">
        <v>620</v>
      </c>
      <c r="F625" s="69" t="s">
        <v>502</v>
      </c>
      <c r="G625" s="70"/>
      <c r="H625" s="71" t="b">
        <v>1</v>
      </c>
      <c r="I625" s="193"/>
      <c r="J625" s="193"/>
    </row>
    <row r="626" ht="57.0" hidden="1" customHeight="1" outlineLevel="1">
      <c r="A626" s="60" t="s">
        <v>885</v>
      </c>
      <c r="B626" s="61" t="b">
        <v>0</v>
      </c>
      <c r="C626" s="61" t="b">
        <v>0</v>
      </c>
      <c r="D626" s="62" t="s">
        <v>49</v>
      </c>
      <c r="E626" s="62" t="s">
        <v>620</v>
      </c>
      <c r="F626" s="62" t="s">
        <v>502</v>
      </c>
      <c r="G626" s="63"/>
      <c r="H626" s="53" t="b">
        <v>1</v>
      </c>
      <c r="I626" s="193"/>
      <c r="J626" s="193"/>
    </row>
    <row r="627" ht="57.0" hidden="1" customHeight="1" outlineLevel="1">
      <c r="A627" s="66" t="s">
        <v>886</v>
      </c>
      <c r="B627" s="68" t="b">
        <v>0</v>
      </c>
      <c r="C627" s="68" t="b">
        <v>0</v>
      </c>
      <c r="D627" s="69" t="s">
        <v>49</v>
      </c>
      <c r="E627" s="69" t="s">
        <v>798</v>
      </c>
      <c r="F627" s="69" t="s">
        <v>502</v>
      </c>
      <c r="G627" s="70"/>
      <c r="H627" s="71" t="b">
        <v>1</v>
      </c>
      <c r="I627" s="193"/>
      <c r="J627" s="193"/>
    </row>
    <row r="628" ht="57.0" hidden="1" customHeight="1" outlineLevel="1">
      <c r="A628" s="60" t="s">
        <v>887</v>
      </c>
      <c r="B628" s="61" t="b">
        <v>0</v>
      </c>
      <c r="C628" s="61" t="b">
        <v>0</v>
      </c>
      <c r="D628" s="62" t="s">
        <v>49</v>
      </c>
      <c r="E628" s="62" t="s">
        <v>798</v>
      </c>
      <c r="F628" s="62" t="s">
        <v>502</v>
      </c>
      <c r="G628" s="63"/>
      <c r="H628" s="53" t="b">
        <v>1</v>
      </c>
      <c r="I628" s="193"/>
      <c r="J628" s="193"/>
    </row>
    <row r="629" ht="57.0" hidden="1" customHeight="1" outlineLevel="1">
      <c r="A629" s="66" t="s">
        <v>888</v>
      </c>
      <c r="B629" s="68" t="b">
        <v>0</v>
      </c>
      <c r="C629" s="68" t="b">
        <v>0</v>
      </c>
      <c r="D629" s="69" t="s">
        <v>49</v>
      </c>
      <c r="E629" s="69" t="s">
        <v>678</v>
      </c>
      <c r="F629" s="69" t="s">
        <v>502</v>
      </c>
      <c r="G629" s="70"/>
      <c r="H629" s="71" t="b">
        <v>1</v>
      </c>
      <c r="I629" s="193"/>
      <c r="J629" s="193"/>
    </row>
    <row r="630" ht="57.0" hidden="1" customHeight="1" outlineLevel="1">
      <c r="A630" s="60" t="s">
        <v>889</v>
      </c>
      <c r="B630" s="61" t="b">
        <v>0</v>
      </c>
      <c r="C630" s="61" t="b">
        <v>0</v>
      </c>
      <c r="D630" s="62" t="s">
        <v>49</v>
      </c>
      <c r="E630" s="62" t="s">
        <v>628</v>
      </c>
      <c r="F630" s="62" t="s">
        <v>502</v>
      </c>
      <c r="G630" s="63"/>
      <c r="H630" s="53" t="b">
        <v>1</v>
      </c>
      <c r="I630" s="193"/>
      <c r="J630" s="193"/>
    </row>
    <row r="631" ht="57.0" hidden="1" customHeight="1" outlineLevel="1">
      <c r="A631" s="66" t="s">
        <v>890</v>
      </c>
      <c r="B631" s="68" t="b">
        <v>0</v>
      </c>
      <c r="C631" s="68" t="b">
        <v>0</v>
      </c>
      <c r="D631" s="69" t="s">
        <v>49</v>
      </c>
      <c r="E631" s="69" t="s">
        <v>620</v>
      </c>
      <c r="F631" s="69" t="s">
        <v>502</v>
      </c>
      <c r="G631" s="70"/>
      <c r="H631" s="71" t="b">
        <v>1</v>
      </c>
      <c r="I631" s="193"/>
      <c r="J631" s="193"/>
    </row>
    <row r="632" ht="57.0" hidden="1" customHeight="1" outlineLevel="1">
      <c r="A632" s="60" t="s">
        <v>891</v>
      </c>
      <c r="B632" s="61" t="b">
        <v>0</v>
      </c>
      <c r="C632" s="61" t="b">
        <v>0</v>
      </c>
      <c r="D632" s="62" t="s">
        <v>49</v>
      </c>
      <c r="E632" s="62" t="s">
        <v>585</v>
      </c>
      <c r="F632" s="62" t="s">
        <v>502</v>
      </c>
      <c r="G632" s="63"/>
      <c r="H632" s="53" t="b">
        <v>1</v>
      </c>
      <c r="I632" s="193"/>
      <c r="J632" s="193"/>
    </row>
    <row r="633" ht="57.0" hidden="1" customHeight="1" outlineLevel="1">
      <c r="A633" s="66" t="s">
        <v>892</v>
      </c>
      <c r="B633" s="68" t="b">
        <v>0</v>
      </c>
      <c r="C633" s="68" t="b">
        <v>0</v>
      </c>
      <c r="D633" s="69" t="s">
        <v>49</v>
      </c>
      <c r="E633" s="69" t="s">
        <v>678</v>
      </c>
      <c r="F633" s="69" t="s">
        <v>502</v>
      </c>
      <c r="G633" s="70"/>
      <c r="H633" s="71" t="b">
        <v>1</v>
      </c>
      <c r="I633" s="193"/>
      <c r="J633" s="193"/>
    </row>
    <row r="634" ht="57.0" customHeight="1">
      <c r="A634" s="60" t="s">
        <v>893</v>
      </c>
      <c r="B634" s="61" t="b">
        <v>0</v>
      </c>
      <c r="C634" s="61" t="b">
        <v>0</v>
      </c>
      <c r="D634" s="62" t="s">
        <v>425</v>
      </c>
      <c r="E634" s="62" t="s">
        <v>410</v>
      </c>
      <c r="F634" s="62" t="s">
        <v>457</v>
      </c>
      <c r="G634" s="63"/>
      <c r="H634" s="53" t="b">
        <v>0</v>
      </c>
      <c r="I634" s="193"/>
      <c r="J634" s="193"/>
    </row>
    <row r="635" ht="57.0" customHeight="1" collapsed="1">
      <c r="A635" s="180" t="s">
        <v>894</v>
      </c>
      <c r="B635" s="181" t="b">
        <v>0</v>
      </c>
      <c r="C635" s="181" t="b">
        <v>0</v>
      </c>
      <c r="D635" s="182" t="s">
        <v>49</v>
      </c>
      <c r="E635" s="182" t="s">
        <v>895</v>
      </c>
      <c r="F635" s="182" t="s">
        <v>582</v>
      </c>
      <c r="G635" s="183"/>
      <c r="H635" s="187" t="b">
        <v>0</v>
      </c>
      <c r="I635" s="193"/>
      <c r="J635" s="193"/>
    </row>
    <row r="636" ht="57.0" hidden="1" customHeight="1" outlineLevel="1">
      <c r="A636" s="60" t="s">
        <v>896</v>
      </c>
      <c r="B636" s="61" t="b">
        <v>0</v>
      </c>
      <c r="C636" s="61" t="b">
        <v>0</v>
      </c>
      <c r="D636" s="62" t="s">
        <v>49</v>
      </c>
      <c r="E636" s="62" t="s">
        <v>591</v>
      </c>
      <c r="F636" s="62" t="s">
        <v>582</v>
      </c>
      <c r="G636" s="63"/>
      <c r="H636" s="53" t="b">
        <v>1</v>
      </c>
      <c r="I636" s="193"/>
      <c r="J636" s="193"/>
    </row>
    <row r="637" ht="57.0" hidden="1" customHeight="1" outlineLevel="1">
      <c r="A637" s="66" t="s">
        <v>897</v>
      </c>
      <c r="B637" s="68" t="b">
        <v>0</v>
      </c>
      <c r="C637" s="68" t="b">
        <v>0</v>
      </c>
      <c r="D637" s="69" t="s">
        <v>49</v>
      </c>
      <c r="E637" s="69" t="s">
        <v>585</v>
      </c>
      <c r="F637" s="69" t="s">
        <v>582</v>
      </c>
      <c r="G637" s="70"/>
      <c r="H637" s="71" t="b">
        <v>1</v>
      </c>
      <c r="I637" s="193"/>
      <c r="J637" s="193"/>
    </row>
    <row r="638" ht="57.0" hidden="1" customHeight="1" outlineLevel="1">
      <c r="A638" s="60" t="s">
        <v>898</v>
      </c>
      <c r="B638" s="61" t="b">
        <v>0</v>
      </c>
      <c r="C638" s="61" t="b">
        <v>0</v>
      </c>
      <c r="D638" s="62" t="s">
        <v>49</v>
      </c>
      <c r="E638" s="62" t="s">
        <v>595</v>
      </c>
      <c r="F638" s="62" t="s">
        <v>582</v>
      </c>
      <c r="G638" s="63"/>
      <c r="H638" s="53" t="b">
        <v>1</v>
      </c>
      <c r="I638" s="193"/>
      <c r="J638" s="193"/>
    </row>
    <row r="639" ht="57.0" hidden="1" customHeight="1" outlineLevel="1">
      <c r="A639" s="66" t="s">
        <v>899</v>
      </c>
      <c r="B639" s="68" t="b">
        <v>0</v>
      </c>
      <c r="C639" s="68" t="b">
        <v>0</v>
      </c>
      <c r="D639" s="69" t="s">
        <v>49</v>
      </c>
      <c r="E639" s="69" t="s">
        <v>593</v>
      </c>
      <c r="F639" s="69" t="s">
        <v>582</v>
      </c>
      <c r="G639" s="70"/>
      <c r="H639" s="71" t="b">
        <v>1</v>
      </c>
      <c r="I639" s="193"/>
      <c r="J639" s="193"/>
    </row>
    <row r="640" ht="57.0" hidden="1" customHeight="1" outlineLevel="1">
      <c r="A640" s="60" t="s">
        <v>900</v>
      </c>
      <c r="B640" s="61" t="b">
        <v>0</v>
      </c>
      <c r="C640" s="61" t="b">
        <v>0</v>
      </c>
      <c r="D640" s="62" t="s">
        <v>49</v>
      </c>
      <c r="E640" s="62" t="s">
        <v>678</v>
      </c>
      <c r="F640" s="62" t="s">
        <v>582</v>
      </c>
      <c r="G640" s="63"/>
      <c r="H640" s="53" t="b">
        <v>1</v>
      </c>
      <c r="I640" s="193"/>
      <c r="J640" s="193"/>
    </row>
    <row r="641" ht="57.0" hidden="1" customHeight="1" outlineLevel="1">
      <c r="A641" s="66" t="s">
        <v>901</v>
      </c>
      <c r="B641" s="68" t="b">
        <v>0</v>
      </c>
      <c r="C641" s="68" t="b">
        <v>0</v>
      </c>
      <c r="D641" s="69" t="s">
        <v>49</v>
      </c>
      <c r="E641" s="69" t="s">
        <v>593</v>
      </c>
      <c r="F641" s="69" t="s">
        <v>582</v>
      </c>
      <c r="G641" s="70"/>
      <c r="H641" s="71" t="b">
        <v>1</v>
      </c>
      <c r="I641" s="193"/>
      <c r="J641" s="193"/>
    </row>
    <row r="642" ht="57.0" hidden="1" customHeight="1" outlineLevel="1">
      <c r="A642" s="60" t="s">
        <v>902</v>
      </c>
      <c r="B642" s="61" t="b">
        <v>0</v>
      </c>
      <c r="C642" s="61" t="b">
        <v>0</v>
      </c>
      <c r="D642" s="62" t="s">
        <v>49</v>
      </c>
      <c r="E642" s="62" t="s">
        <v>595</v>
      </c>
      <c r="F642" s="62" t="s">
        <v>582</v>
      </c>
      <c r="G642" s="63"/>
      <c r="H642" s="53" t="b">
        <v>1</v>
      </c>
      <c r="I642" s="193"/>
      <c r="J642" s="193"/>
    </row>
    <row r="643" ht="57.0" hidden="1" customHeight="1" outlineLevel="1">
      <c r="A643" s="66" t="s">
        <v>903</v>
      </c>
      <c r="B643" s="68" t="b">
        <v>0</v>
      </c>
      <c r="C643" s="68" t="b">
        <v>0</v>
      </c>
      <c r="D643" s="69" t="s">
        <v>49</v>
      </c>
      <c r="E643" s="69" t="s">
        <v>798</v>
      </c>
      <c r="F643" s="69" t="s">
        <v>582</v>
      </c>
      <c r="G643" s="70"/>
      <c r="H643" s="71" t="b">
        <v>1</v>
      </c>
      <c r="I643" s="193"/>
      <c r="J643" s="193"/>
    </row>
    <row r="644" ht="57.0" hidden="1" customHeight="1" outlineLevel="1">
      <c r="A644" s="60" t="s">
        <v>904</v>
      </c>
      <c r="B644" s="61" t="b">
        <v>0</v>
      </c>
      <c r="C644" s="61" t="b">
        <v>0</v>
      </c>
      <c r="D644" s="62" t="s">
        <v>49</v>
      </c>
      <c r="E644" s="62" t="s">
        <v>585</v>
      </c>
      <c r="F644" s="62" t="s">
        <v>582</v>
      </c>
      <c r="G644" s="63"/>
      <c r="H644" s="53" t="b">
        <v>1</v>
      </c>
      <c r="I644" s="193"/>
      <c r="J644" s="193"/>
    </row>
    <row r="645" ht="57.0" hidden="1" customHeight="1" outlineLevel="1">
      <c r="A645" s="66" t="s">
        <v>905</v>
      </c>
      <c r="B645" s="68" t="b">
        <v>0</v>
      </c>
      <c r="C645" s="68" t="b">
        <v>0</v>
      </c>
      <c r="D645" s="69" t="s">
        <v>49</v>
      </c>
      <c r="E645" s="69" t="s">
        <v>620</v>
      </c>
      <c r="F645" s="69" t="s">
        <v>582</v>
      </c>
      <c r="G645" s="70"/>
      <c r="H645" s="71" t="b">
        <v>1</v>
      </c>
      <c r="I645" s="193"/>
      <c r="J645" s="193"/>
    </row>
    <row r="646" ht="57.0" hidden="1" customHeight="1" outlineLevel="1">
      <c r="A646" s="60" t="s">
        <v>906</v>
      </c>
      <c r="B646" s="61" t="b">
        <v>0</v>
      </c>
      <c r="C646" s="61" t="b">
        <v>0</v>
      </c>
      <c r="D646" s="62" t="s">
        <v>49</v>
      </c>
      <c r="E646" s="62" t="s">
        <v>585</v>
      </c>
      <c r="F646" s="62" t="s">
        <v>582</v>
      </c>
      <c r="G646" s="63"/>
      <c r="H646" s="53" t="b">
        <v>1</v>
      </c>
      <c r="I646" s="193"/>
      <c r="J646" s="193"/>
    </row>
    <row r="647" ht="57.0" hidden="1" customHeight="1" outlineLevel="1">
      <c r="A647" s="66" t="s">
        <v>907</v>
      </c>
      <c r="B647" s="68" t="b">
        <v>0</v>
      </c>
      <c r="C647" s="68" t="b">
        <v>0</v>
      </c>
      <c r="D647" s="69" t="s">
        <v>49</v>
      </c>
      <c r="E647" s="69" t="s">
        <v>678</v>
      </c>
      <c r="F647" s="69" t="s">
        <v>582</v>
      </c>
      <c r="G647" s="70"/>
      <c r="H647" s="71" t="b">
        <v>1</v>
      </c>
      <c r="I647" s="193"/>
      <c r="J647" s="193"/>
    </row>
    <row r="648" ht="57.0" hidden="1" customHeight="1" outlineLevel="1">
      <c r="A648" s="60" t="s">
        <v>908</v>
      </c>
      <c r="B648" s="61" t="b">
        <v>0</v>
      </c>
      <c r="C648" s="61" t="b">
        <v>0</v>
      </c>
      <c r="D648" s="62" t="s">
        <v>49</v>
      </c>
      <c r="E648" s="62" t="s">
        <v>585</v>
      </c>
      <c r="F648" s="62" t="s">
        <v>582</v>
      </c>
      <c r="G648" s="63"/>
      <c r="H648" s="53" t="b">
        <v>1</v>
      </c>
      <c r="I648" s="193"/>
      <c r="J648" s="193"/>
    </row>
    <row r="649" ht="57.0" customHeight="1">
      <c r="A649" s="60" t="s">
        <v>909</v>
      </c>
      <c r="B649" s="61" t="b">
        <v>0</v>
      </c>
      <c r="C649" s="61" t="b">
        <v>0</v>
      </c>
      <c r="D649" s="62" t="s">
        <v>401</v>
      </c>
      <c r="E649" s="62" t="s">
        <v>910</v>
      </c>
      <c r="F649" s="62" t="s">
        <v>457</v>
      </c>
      <c r="G649" s="185" t="s">
        <v>911</v>
      </c>
      <c r="H649" s="53" t="b">
        <v>0</v>
      </c>
      <c r="I649" s="193"/>
      <c r="J649" s="193"/>
    </row>
    <row r="650" ht="57.0" customHeight="1" collapsed="1">
      <c r="A650" s="180" t="s">
        <v>912</v>
      </c>
      <c r="B650" s="181" t="b">
        <v>0</v>
      </c>
      <c r="C650" s="181" t="b">
        <v>0</v>
      </c>
      <c r="D650" s="182" t="s">
        <v>913</v>
      </c>
      <c r="E650" s="182" t="s">
        <v>914</v>
      </c>
      <c r="F650" s="182" t="s">
        <v>762</v>
      </c>
      <c r="G650" s="183"/>
      <c r="H650" s="187" t="b">
        <v>0</v>
      </c>
      <c r="I650" s="193"/>
      <c r="J650" s="193"/>
    </row>
    <row r="651" ht="57.0" hidden="1" customHeight="1" outlineLevel="1">
      <c r="A651" s="60" t="s">
        <v>915</v>
      </c>
      <c r="B651" s="61" t="b">
        <v>0</v>
      </c>
      <c r="C651" s="61" t="b">
        <v>0</v>
      </c>
      <c r="D651" s="62" t="s">
        <v>49</v>
      </c>
      <c r="E651" s="62" t="s">
        <v>682</v>
      </c>
      <c r="F651" s="62" t="s">
        <v>762</v>
      </c>
      <c r="G651" s="63"/>
      <c r="H651" s="53" t="b">
        <v>1</v>
      </c>
      <c r="I651" s="193"/>
      <c r="J651" s="193"/>
    </row>
    <row r="652" ht="57.0" hidden="1" customHeight="1" outlineLevel="1">
      <c r="A652" s="66" t="s">
        <v>916</v>
      </c>
      <c r="B652" s="68" t="b">
        <v>0</v>
      </c>
      <c r="C652" s="68" t="b">
        <v>0</v>
      </c>
      <c r="D652" s="69" t="s">
        <v>49</v>
      </c>
      <c r="E652" s="69" t="s">
        <v>585</v>
      </c>
      <c r="F652" s="69" t="s">
        <v>762</v>
      </c>
      <c r="G652" s="70"/>
      <c r="H652" s="71" t="b">
        <v>1</v>
      </c>
      <c r="I652" s="193"/>
      <c r="J652" s="193"/>
    </row>
    <row r="653" ht="57.0" hidden="1" customHeight="1" outlineLevel="1">
      <c r="A653" s="60" t="s">
        <v>917</v>
      </c>
      <c r="B653" s="61" t="b">
        <v>0</v>
      </c>
      <c r="C653" s="61" t="b">
        <v>0</v>
      </c>
      <c r="D653" s="62" t="s">
        <v>49</v>
      </c>
      <c r="E653" s="62" t="s">
        <v>588</v>
      </c>
      <c r="F653" s="62" t="s">
        <v>762</v>
      </c>
      <c r="G653" s="63"/>
      <c r="H653" s="53" t="b">
        <v>1</v>
      </c>
      <c r="I653" s="193"/>
      <c r="J653" s="193"/>
    </row>
    <row r="654" ht="57.0" hidden="1" customHeight="1" outlineLevel="1">
      <c r="A654" s="66" t="s">
        <v>918</v>
      </c>
      <c r="B654" s="68" t="b">
        <v>0</v>
      </c>
      <c r="C654" s="68" t="b">
        <v>0</v>
      </c>
      <c r="D654" s="69" t="s">
        <v>49</v>
      </c>
      <c r="E654" s="69" t="s">
        <v>551</v>
      </c>
      <c r="F654" s="69" t="s">
        <v>762</v>
      </c>
      <c r="G654" s="70"/>
      <c r="H654" s="71" t="b">
        <v>1</v>
      </c>
      <c r="I654" s="193"/>
      <c r="J654" s="193"/>
    </row>
    <row r="655" ht="57.0" hidden="1" customHeight="1" outlineLevel="1">
      <c r="A655" s="60" t="s">
        <v>919</v>
      </c>
      <c r="B655" s="61" t="b">
        <v>0</v>
      </c>
      <c r="C655" s="61" t="b">
        <v>0</v>
      </c>
      <c r="D655" s="62" t="s">
        <v>49</v>
      </c>
      <c r="E655" s="62" t="s">
        <v>593</v>
      </c>
      <c r="F655" s="62" t="s">
        <v>762</v>
      </c>
      <c r="G655" s="63"/>
      <c r="H655" s="53" t="b">
        <v>1</v>
      </c>
      <c r="I655" s="193"/>
      <c r="J655" s="193"/>
    </row>
    <row r="656" ht="57.0" hidden="1" customHeight="1" outlineLevel="1">
      <c r="A656" s="66" t="s">
        <v>920</v>
      </c>
      <c r="B656" s="68" t="b">
        <v>0</v>
      </c>
      <c r="C656" s="68" t="b">
        <v>0</v>
      </c>
      <c r="D656" s="69" t="s">
        <v>49</v>
      </c>
      <c r="E656" s="69" t="s">
        <v>593</v>
      </c>
      <c r="F656" s="69" t="s">
        <v>762</v>
      </c>
      <c r="G656" s="70"/>
      <c r="H656" s="71" t="b">
        <v>1</v>
      </c>
      <c r="I656" s="193"/>
      <c r="J656" s="193"/>
    </row>
    <row r="657" ht="57.0" hidden="1" customHeight="1" outlineLevel="1">
      <c r="A657" s="60" t="s">
        <v>921</v>
      </c>
      <c r="B657" s="61" t="b">
        <v>0</v>
      </c>
      <c r="C657" s="61" t="b">
        <v>0</v>
      </c>
      <c r="D657" s="62" t="s">
        <v>49</v>
      </c>
      <c r="E657" s="62" t="s">
        <v>593</v>
      </c>
      <c r="F657" s="62" t="s">
        <v>762</v>
      </c>
      <c r="G657" s="63"/>
      <c r="H657" s="53" t="b">
        <v>1</v>
      </c>
      <c r="I657" s="193"/>
      <c r="J657" s="193"/>
    </row>
    <row r="658" ht="57.0" hidden="1" customHeight="1" outlineLevel="1">
      <c r="A658" s="66" t="s">
        <v>922</v>
      </c>
      <c r="B658" s="68" t="b">
        <v>0</v>
      </c>
      <c r="C658" s="68" t="b">
        <v>0</v>
      </c>
      <c r="D658" s="69" t="s">
        <v>49</v>
      </c>
      <c r="E658" s="69" t="s">
        <v>593</v>
      </c>
      <c r="F658" s="69" t="s">
        <v>762</v>
      </c>
      <c r="G658" s="70"/>
      <c r="H658" s="71" t="b">
        <v>1</v>
      </c>
      <c r="I658" s="193"/>
      <c r="J658" s="193"/>
    </row>
    <row r="659" ht="57.0" hidden="1" customHeight="1" outlineLevel="1">
      <c r="A659" s="60" t="s">
        <v>923</v>
      </c>
      <c r="B659" s="61" t="b">
        <v>0</v>
      </c>
      <c r="C659" s="61" t="b">
        <v>0</v>
      </c>
      <c r="D659" s="62" t="s">
        <v>49</v>
      </c>
      <c r="E659" s="62" t="s">
        <v>662</v>
      </c>
      <c r="F659" s="62" t="s">
        <v>762</v>
      </c>
      <c r="G659" s="63"/>
      <c r="H659" s="53" t="b">
        <v>1</v>
      </c>
      <c r="I659" s="193"/>
      <c r="J659" s="193"/>
    </row>
    <row r="660" ht="57.0" hidden="1" customHeight="1" outlineLevel="1">
      <c r="A660" s="66" t="s">
        <v>924</v>
      </c>
      <c r="B660" s="68" t="b">
        <v>0</v>
      </c>
      <c r="C660" s="68" t="b">
        <v>0</v>
      </c>
      <c r="D660" s="69" t="s">
        <v>49</v>
      </c>
      <c r="E660" s="69" t="s">
        <v>798</v>
      </c>
      <c r="F660" s="69" t="s">
        <v>762</v>
      </c>
      <c r="G660" s="70"/>
      <c r="H660" s="71" t="b">
        <v>1</v>
      </c>
      <c r="I660" s="193"/>
      <c r="J660" s="193"/>
    </row>
    <row r="661" ht="57.0" hidden="1" customHeight="1" outlineLevel="1">
      <c r="A661" s="60" t="s">
        <v>925</v>
      </c>
      <c r="B661" s="61" t="b">
        <v>0</v>
      </c>
      <c r="C661" s="61" t="b">
        <v>0</v>
      </c>
      <c r="D661" s="62" t="s">
        <v>401</v>
      </c>
      <c r="E661" s="62" t="s">
        <v>588</v>
      </c>
      <c r="F661" s="62" t="s">
        <v>762</v>
      </c>
      <c r="G661" s="63"/>
      <c r="H661" s="53" t="b">
        <v>1</v>
      </c>
      <c r="I661" s="193"/>
      <c r="J661" s="193"/>
    </row>
    <row r="662" ht="57.0" customHeight="1">
      <c r="A662" s="60" t="s">
        <v>926</v>
      </c>
      <c r="B662" s="61" t="b">
        <v>0</v>
      </c>
      <c r="C662" s="61" t="b">
        <v>0</v>
      </c>
      <c r="D662" s="62" t="s">
        <v>401</v>
      </c>
      <c r="E662" s="62" t="s">
        <v>927</v>
      </c>
      <c r="F662" s="62" t="s">
        <v>928</v>
      </c>
      <c r="G662" s="63" t="s">
        <v>929</v>
      </c>
      <c r="H662" s="53" t="b">
        <v>0</v>
      </c>
      <c r="I662" s="193"/>
      <c r="J662" s="193"/>
    </row>
    <row r="663" ht="57.0" customHeight="1" collapsed="1">
      <c r="A663" s="180" t="s">
        <v>930</v>
      </c>
      <c r="B663" s="181" t="b">
        <v>0</v>
      </c>
      <c r="C663" s="181" t="b">
        <v>0</v>
      </c>
      <c r="D663" s="182" t="s">
        <v>931</v>
      </c>
      <c r="E663" s="182" t="s">
        <v>932</v>
      </c>
      <c r="F663" s="182" t="s">
        <v>502</v>
      </c>
      <c r="G663" s="183"/>
      <c r="H663" s="187" t="b">
        <v>0</v>
      </c>
      <c r="I663" s="193"/>
      <c r="J663" s="193"/>
    </row>
    <row r="664" ht="57.0" hidden="1" customHeight="1" outlineLevel="1">
      <c r="A664" s="60" t="s">
        <v>933</v>
      </c>
      <c r="B664" s="61" t="b">
        <v>0</v>
      </c>
      <c r="C664" s="61" t="b">
        <v>0</v>
      </c>
      <c r="D664" s="62" t="s">
        <v>49</v>
      </c>
      <c r="E664" s="62" t="s">
        <v>432</v>
      </c>
      <c r="F664" s="62" t="s">
        <v>502</v>
      </c>
      <c r="G664" s="63"/>
      <c r="H664" s="53" t="b">
        <v>1</v>
      </c>
      <c r="I664" s="193"/>
      <c r="J664" s="193"/>
    </row>
    <row r="665" ht="57.0" hidden="1" customHeight="1" outlineLevel="1">
      <c r="A665" s="66" t="s">
        <v>934</v>
      </c>
      <c r="B665" s="68" t="b">
        <v>0</v>
      </c>
      <c r="C665" s="68" t="b">
        <v>0</v>
      </c>
      <c r="D665" s="69" t="s">
        <v>49</v>
      </c>
      <c r="E665" s="69" t="s">
        <v>430</v>
      </c>
      <c r="F665" s="69" t="s">
        <v>502</v>
      </c>
      <c r="G665" s="70"/>
      <c r="H665" s="71" t="b">
        <v>1</v>
      </c>
      <c r="I665" s="193"/>
      <c r="J665" s="193"/>
    </row>
    <row r="666" ht="57.0" hidden="1" customHeight="1" outlineLevel="1">
      <c r="A666" s="60" t="s">
        <v>935</v>
      </c>
      <c r="B666" s="61" t="b">
        <v>0</v>
      </c>
      <c r="C666" s="61" t="b">
        <v>0</v>
      </c>
      <c r="D666" s="62" t="s">
        <v>49</v>
      </c>
      <c r="E666" s="62" t="s">
        <v>430</v>
      </c>
      <c r="F666" s="62" t="s">
        <v>502</v>
      </c>
      <c r="G666" s="63"/>
      <c r="H666" s="53" t="b">
        <v>1</v>
      </c>
      <c r="I666" s="193"/>
      <c r="J666" s="193"/>
    </row>
    <row r="667" ht="57.0" hidden="1" customHeight="1" outlineLevel="1">
      <c r="A667" s="66" t="s">
        <v>936</v>
      </c>
      <c r="B667" s="68" t="b">
        <v>0</v>
      </c>
      <c r="C667" s="68" t="b">
        <v>0</v>
      </c>
      <c r="D667" s="69" t="s">
        <v>49</v>
      </c>
      <c r="E667" s="69" t="s">
        <v>430</v>
      </c>
      <c r="F667" s="69" t="s">
        <v>502</v>
      </c>
      <c r="G667" s="70"/>
      <c r="H667" s="71" t="b">
        <v>1</v>
      </c>
      <c r="I667" s="193"/>
      <c r="J667" s="193"/>
    </row>
    <row r="668" ht="57.0" hidden="1" customHeight="1" outlineLevel="1">
      <c r="A668" s="60" t="s">
        <v>937</v>
      </c>
      <c r="B668" s="61" t="b">
        <v>0</v>
      </c>
      <c r="C668" s="61" t="b">
        <v>0</v>
      </c>
      <c r="D668" s="62" t="s">
        <v>49</v>
      </c>
      <c r="E668" s="62" t="s">
        <v>430</v>
      </c>
      <c r="F668" s="62" t="s">
        <v>502</v>
      </c>
      <c r="G668" s="63"/>
      <c r="H668" s="53" t="b">
        <v>1</v>
      </c>
      <c r="I668" s="193"/>
      <c r="J668" s="193"/>
    </row>
    <row r="669" ht="57.0" hidden="1" customHeight="1" outlineLevel="1">
      <c r="A669" s="66" t="s">
        <v>938</v>
      </c>
      <c r="B669" s="68" t="b">
        <v>0</v>
      </c>
      <c r="C669" s="68" t="b">
        <v>0</v>
      </c>
      <c r="D669" s="69" t="s">
        <v>49</v>
      </c>
      <c r="E669" s="69" t="s">
        <v>430</v>
      </c>
      <c r="F669" s="69" t="s">
        <v>502</v>
      </c>
      <c r="G669" s="70"/>
      <c r="H669" s="71" t="b">
        <v>1</v>
      </c>
      <c r="I669" s="193"/>
      <c r="J669" s="193"/>
    </row>
    <row r="670" ht="57.0" hidden="1" customHeight="1" outlineLevel="1">
      <c r="A670" s="60" t="s">
        <v>939</v>
      </c>
      <c r="B670" s="61" t="b">
        <v>0</v>
      </c>
      <c r="C670" s="61" t="b">
        <v>0</v>
      </c>
      <c r="D670" s="62" t="s">
        <v>49</v>
      </c>
      <c r="E670" s="62" t="s">
        <v>430</v>
      </c>
      <c r="F670" s="62" t="s">
        <v>502</v>
      </c>
      <c r="G670" s="63"/>
      <c r="H670" s="53" t="b">
        <v>1</v>
      </c>
      <c r="I670" s="193"/>
      <c r="J670" s="193"/>
    </row>
    <row r="671" ht="57.0" hidden="1" customHeight="1" outlineLevel="1">
      <c r="A671" s="66" t="s">
        <v>940</v>
      </c>
      <c r="B671" s="68" t="b">
        <v>0</v>
      </c>
      <c r="C671" s="68" t="b">
        <v>0</v>
      </c>
      <c r="D671" s="69" t="s">
        <v>49</v>
      </c>
      <c r="E671" s="69" t="s">
        <v>430</v>
      </c>
      <c r="F671" s="69" t="s">
        <v>502</v>
      </c>
      <c r="G671" s="70"/>
      <c r="H671" s="71" t="b">
        <v>1</v>
      </c>
      <c r="I671" s="193"/>
      <c r="J671" s="193"/>
    </row>
    <row r="672" ht="57.0" hidden="1" customHeight="1" outlineLevel="1">
      <c r="A672" s="60" t="s">
        <v>941</v>
      </c>
      <c r="B672" s="61" t="b">
        <v>0</v>
      </c>
      <c r="C672" s="61" t="b">
        <v>0</v>
      </c>
      <c r="D672" s="62" t="s">
        <v>49</v>
      </c>
      <c r="E672" s="62" t="s">
        <v>539</v>
      </c>
      <c r="F672" s="62" t="s">
        <v>502</v>
      </c>
      <c r="G672" s="63"/>
      <c r="H672" s="53" t="b">
        <v>1</v>
      </c>
      <c r="I672" s="193"/>
      <c r="J672" s="193"/>
    </row>
    <row r="673" ht="57.0" hidden="1" customHeight="1" outlineLevel="1">
      <c r="A673" s="66" t="s">
        <v>942</v>
      </c>
      <c r="B673" s="68" t="b">
        <v>0</v>
      </c>
      <c r="C673" s="68" t="b">
        <v>0</v>
      </c>
      <c r="D673" s="69" t="s">
        <v>401</v>
      </c>
      <c r="E673" s="69" t="s">
        <v>430</v>
      </c>
      <c r="F673" s="69" t="s">
        <v>502</v>
      </c>
      <c r="G673" s="70" t="s">
        <v>943</v>
      </c>
      <c r="H673" s="71" t="b">
        <v>1</v>
      </c>
      <c r="I673" s="193"/>
      <c r="J673" s="193"/>
    </row>
    <row r="674" ht="57.0" customHeight="1" collapsed="1">
      <c r="A674" s="60" t="s">
        <v>944</v>
      </c>
      <c r="B674" s="61" t="b">
        <v>0</v>
      </c>
      <c r="C674" s="61" t="b">
        <v>0</v>
      </c>
      <c r="D674" s="62" t="s">
        <v>49</v>
      </c>
      <c r="E674" s="62" t="s">
        <v>945</v>
      </c>
      <c r="F674" s="62" t="s">
        <v>582</v>
      </c>
      <c r="G674" s="63"/>
      <c r="H674" s="53" t="b">
        <v>0</v>
      </c>
      <c r="I674" s="193"/>
      <c r="J674" s="193"/>
    </row>
    <row r="675" ht="57.0" hidden="1" customHeight="1" outlineLevel="1">
      <c r="A675" s="60" t="s">
        <v>946</v>
      </c>
      <c r="B675" s="61" t="b">
        <v>0</v>
      </c>
      <c r="C675" s="61" t="b">
        <v>0</v>
      </c>
      <c r="D675" s="62" t="s">
        <v>49</v>
      </c>
      <c r="E675" s="62" t="s">
        <v>604</v>
      </c>
      <c r="F675" s="62" t="s">
        <v>582</v>
      </c>
      <c r="G675" s="63"/>
      <c r="H675" s="53" t="b">
        <v>1</v>
      </c>
      <c r="I675" s="193"/>
      <c r="J675" s="193"/>
    </row>
    <row r="676" ht="57.0" hidden="1" customHeight="1" outlineLevel="1">
      <c r="A676" s="66" t="s">
        <v>947</v>
      </c>
      <c r="B676" s="68" t="b">
        <v>0</v>
      </c>
      <c r="C676" s="68" t="b">
        <v>0</v>
      </c>
      <c r="D676" s="69" t="s">
        <v>49</v>
      </c>
      <c r="E676" s="69" t="s">
        <v>604</v>
      </c>
      <c r="F676" s="69" t="s">
        <v>582</v>
      </c>
      <c r="G676" s="70"/>
      <c r="H676" s="71" t="b">
        <v>1</v>
      </c>
      <c r="I676" s="193"/>
      <c r="J676" s="193"/>
    </row>
    <row r="677" ht="57.0" hidden="1" customHeight="1" outlineLevel="1">
      <c r="A677" s="60" t="s">
        <v>948</v>
      </c>
      <c r="B677" s="61" t="b">
        <v>0</v>
      </c>
      <c r="C677" s="61" t="b">
        <v>0</v>
      </c>
      <c r="D677" s="62" t="s">
        <v>49</v>
      </c>
      <c r="E677" s="62" t="s">
        <v>602</v>
      </c>
      <c r="F677" s="62" t="s">
        <v>582</v>
      </c>
      <c r="G677" s="63"/>
      <c r="H677" s="53" t="b">
        <v>1</v>
      </c>
      <c r="I677" s="193"/>
      <c r="J677" s="193"/>
    </row>
    <row r="678" ht="57.0" hidden="1" customHeight="1" outlineLevel="1">
      <c r="A678" s="66" t="s">
        <v>949</v>
      </c>
      <c r="B678" s="68" t="b">
        <v>0</v>
      </c>
      <c r="C678" s="68" t="b">
        <v>0</v>
      </c>
      <c r="D678" s="69" t="s">
        <v>49</v>
      </c>
      <c r="E678" s="69" t="s">
        <v>602</v>
      </c>
      <c r="F678" s="69" t="s">
        <v>582</v>
      </c>
      <c r="G678" s="70"/>
      <c r="H678" s="71" t="b">
        <v>1</v>
      </c>
      <c r="I678" s="193"/>
      <c r="J678" s="193"/>
    </row>
    <row r="679" ht="57.0" hidden="1" customHeight="1" outlineLevel="1">
      <c r="A679" s="60" t="s">
        <v>950</v>
      </c>
      <c r="B679" s="61" t="b">
        <v>0</v>
      </c>
      <c r="C679" s="61" t="b">
        <v>0</v>
      </c>
      <c r="D679" s="62" t="s">
        <v>49</v>
      </c>
      <c r="E679" s="62" t="s">
        <v>600</v>
      </c>
      <c r="F679" s="62" t="s">
        <v>582</v>
      </c>
      <c r="G679" s="63"/>
      <c r="H679" s="53" t="b">
        <v>1</v>
      </c>
      <c r="I679" s="193"/>
      <c r="J679" s="193"/>
    </row>
    <row r="680" ht="57.0" hidden="1" customHeight="1" outlineLevel="1">
      <c r="A680" s="66" t="s">
        <v>951</v>
      </c>
      <c r="B680" s="68" t="b">
        <v>0</v>
      </c>
      <c r="C680" s="68" t="b">
        <v>0</v>
      </c>
      <c r="D680" s="69" t="s">
        <v>49</v>
      </c>
      <c r="E680" s="69" t="s">
        <v>624</v>
      </c>
      <c r="F680" s="69" t="s">
        <v>582</v>
      </c>
      <c r="G680" s="70"/>
      <c r="H680" s="71" t="b">
        <v>1</v>
      </c>
      <c r="I680" s="193"/>
      <c r="J680" s="193"/>
    </row>
    <row r="681" ht="57.0" hidden="1" customHeight="1" outlineLevel="1">
      <c r="A681" s="60" t="s">
        <v>952</v>
      </c>
      <c r="B681" s="61" t="b">
        <v>0</v>
      </c>
      <c r="C681" s="61" t="b">
        <v>0</v>
      </c>
      <c r="D681" s="62" t="s">
        <v>49</v>
      </c>
      <c r="E681" s="62" t="s">
        <v>591</v>
      </c>
      <c r="F681" s="62" t="s">
        <v>582</v>
      </c>
      <c r="G681" s="63"/>
      <c r="H681" s="53" t="b">
        <v>1</v>
      </c>
      <c r="I681" s="193"/>
      <c r="J681" s="193"/>
    </row>
    <row r="682" ht="57.0" hidden="1" customHeight="1" outlineLevel="1">
      <c r="A682" s="66" t="s">
        <v>953</v>
      </c>
      <c r="B682" s="68" t="b">
        <v>0</v>
      </c>
      <c r="C682" s="68" t="b">
        <v>0</v>
      </c>
      <c r="D682" s="69" t="s">
        <v>49</v>
      </c>
      <c r="E682" s="69" t="s">
        <v>598</v>
      </c>
      <c r="F682" s="69" t="s">
        <v>582</v>
      </c>
      <c r="G682" s="70"/>
      <c r="H682" s="71" t="b">
        <v>1</v>
      </c>
      <c r="I682" s="193"/>
      <c r="J682" s="193"/>
    </row>
    <row r="683" ht="57.0" hidden="1" customHeight="1" outlineLevel="1">
      <c r="A683" s="60" t="s">
        <v>954</v>
      </c>
      <c r="B683" s="61" t="b">
        <v>0</v>
      </c>
      <c r="C683" s="61" t="b">
        <v>0</v>
      </c>
      <c r="D683" s="62" t="s">
        <v>49</v>
      </c>
      <c r="E683" s="62" t="s">
        <v>600</v>
      </c>
      <c r="F683" s="62" t="s">
        <v>582</v>
      </c>
      <c r="G683" s="63"/>
      <c r="H683" s="53" t="b">
        <v>1</v>
      </c>
      <c r="I683" s="193"/>
      <c r="J683" s="193"/>
    </row>
    <row r="684" ht="57.0" hidden="1" customHeight="1" outlineLevel="1">
      <c r="A684" s="66" t="s">
        <v>955</v>
      </c>
      <c r="B684" s="68" t="b">
        <v>0</v>
      </c>
      <c r="C684" s="68" t="b">
        <v>0</v>
      </c>
      <c r="D684" s="69" t="s">
        <v>49</v>
      </c>
      <c r="E684" s="69" t="s">
        <v>591</v>
      </c>
      <c r="F684" s="69" t="s">
        <v>582</v>
      </c>
      <c r="G684" s="70"/>
      <c r="H684" s="71" t="b">
        <v>1</v>
      </c>
      <c r="I684" s="193"/>
      <c r="J684" s="193"/>
    </row>
    <row r="685" ht="57.0" hidden="1" customHeight="1" outlineLevel="1">
      <c r="A685" s="60" t="s">
        <v>956</v>
      </c>
      <c r="B685" s="61" t="b">
        <v>0</v>
      </c>
      <c r="C685" s="61" t="b">
        <v>0</v>
      </c>
      <c r="D685" s="62" t="s">
        <v>49</v>
      </c>
      <c r="E685" s="62" t="s">
        <v>598</v>
      </c>
      <c r="F685" s="62" t="s">
        <v>582</v>
      </c>
      <c r="G685" s="63"/>
      <c r="H685" s="53" t="b">
        <v>1</v>
      </c>
      <c r="I685" s="193"/>
      <c r="J685" s="193"/>
    </row>
    <row r="686" ht="57.0" hidden="1" customHeight="1" outlineLevel="1">
      <c r="A686" s="66" t="s">
        <v>957</v>
      </c>
      <c r="B686" s="68" t="b">
        <v>0</v>
      </c>
      <c r="C686" s="68" t="b">
        <v>0</v>
      </c>
      <c r="D686" s="69" t="s">
        <v>49</v>
      </c>
      <c r="E686" s="69" t="s">
        <v>682</v>
      </c>
      <c r="F686" s="69" t="s">
        <v>582</v>
      </c>
      <c r="G686" s="70"/>
      <c r="H686" s="71" t="b">
        <v>1</v>
      </c>
      <c r="I686" s="193"/>
      <c r="J686" s="193"/>
    </row>
    <row r="687" ht="57.0" hidden="1" customHeight="1" outlineLevel="1">
      <c r="A687" s="60" t="s">
        <v>958</v>
      </c>
      <c r="B687" s="61" t="b">
        <v>0</v>
      </c>
      <c r="C687" s="61" t="b">
        <v>0</v>
      </c>
      <c r="D687" s="62" t="s">
        <v>49</v>
      </c>
      <c r="E687" s="62" t="s">
        <v>959</v>
      </c>
      <c r="F687" s="62" t="s">
        <v>582</v>
      </c>
      <c r="G687" s="63"/>
      <c r="H687" s="53" t="b">
        <v>1</v>
      </c>
      <c r="I687" s="193"/>
      <c r="J687" s="193"/>
    </row>
    <row r="688" ht="57.0" customHeight="1">
      <c r="A688" s="180" t="s">
        <v>960</v>
      </c>
      <c r="B688" s="181" t="b">
        <v>0</v>
      </c>
      <c r="C688" s="181" t="b">
        <v>0</v>
      </c>
      <c r="D688" s="182" t="s">
        <v>425</v>
      </c>
      <c r="E688" s="182" t="s">
        <v>961</v>
      </c>
      <c r="F688" s="182" t="s">
        <v>457</v>
      </c>
      <c r="G688" s="183"/>
      <c r="H688" s="187" t="b">
        <v>0</v>
      </c>
      <c r="I688" s="193"/>
      <c r="J688" s="193"/>
    </row>
    <row r="689" ht="57.0" customHeight="1" collapsed="1">
      <c r="A689" s="60" t="s">
        <v>962</v>
      </c>
      <c r="B689" s="61" t="b">
        <v>0</v>
      </c>
      <c r="C689" s="61" t="b">
        <v>0</v>
      </c>
      <c r="D689" s="62" t="s">
        <v>931</v>
      </c>
      <c r="E689" s="62" t="s">
        <v>963</v>
      </c>
      <c r="F689" s="62" t="s">
        <v>582</v>
      </c>
      <c r="G689" s="63"/>
      <c r="H689" s="53" t="b">
        <v>0</v>
      </c>
      <c r="I689" s="193"/>
      <c r="J689" s="193"/>
    </row>
    <row r="690" ht="57.0" hidden="1" customHeight="1" outlineLevel="1">
      <c r="A690" s="60" t="s">
        <v>964</v>
      </c>
      <c r="B690" s="61" t="b">
        <v>0</v>
      </c>
      <c r="C690" s="61" t="b">
        <v>0</v>
      </c>
      <c r="D690" s="62" t="s">
        <v>49</v>
      </c>
      <c r="E690" s="62" t="s">
        <v>620</v>
      </c>
      <c r="F690" s="62" t="s">
        <v>582</v>
      </c>
      <c r="G690" s="63"/>
      <c r="H690" s="53" t="b">
        <v>1</v>
      </c>
      <c r="I690" s="193"/>
      <c r="J690" s="193"/>
    </row>
    <row r="691" ht="57.0" hidden="1" customHeight="1" outlineLevel="1">
      <c r="A691" s="66" t="s">
        <v>965</v>
      </c>
      <c r="B691" s="68" t="b">
        <v>0</v>
      </c>
      <c r="C691" s="68" t="b">
        <v>0</v>
      </c>
      <c r="D691" s="69" t="s">
        <v>49</v>
      </c>
      <c r="E691" s="69" t="s">
        <v>620</v>
      </c>
      <c r="F691" s="69" t="s">
        <v>582</v>
      </c>
      <c r="G691" s="70"/>
      <c r="H691" s="71" t="b">
        <v>1</v>
      </c>
      <c r="I691" s="193"/>
      <c r="J691" s="193"/>
    </row>
    <row r="692" ht="57.0" hidden="1" customHeight="1" outlineLevel="1">
      <c r="A692" s="60" t="s">
        <v>966</v>
      </c>
      <c r="B692" s="61" t="b">
        <v>0</v>
      </c>
      <c r="C692" s="61" t="b">
        <v>0</v>
      </c>
      <c r="D692" s="62" t="s">
        <v>49</v>
      </c>
      <c r="E692" s="62" t="s">
        <v>595</v>
      </c>
      <c r="F692" s="62" t="s">
        <v>582</v>
      </c>
      <c r="G692" s="63"/>
      <c r="H692" s="53" t="b">
        <v>1</v>
      </c>
      <c r="I692" s="193"/>
      <c r="J692" s="193"/>
    </row>
    <row r="693" ht="57.0" hidden="1" customHeight="1" outlineLevel="1">
      <c r="A693" s="66" t="s">
        <v>967</v>
      </c>
      <c r="B693" s="68" t="b">
        <v>0</v>
      </c>
      <c r="C693" s="68" t="b">
        <v>0</v>
      </c>
      <c r="D693" s="69" t="s">
        <v>49</v>
      </c>
      <c r="E693" s="69" t="s">
        <v>593</v>
      </c>
      <c r="F693" s="69" t="s">
        <v>582</v>
      </c>
      <c r="G693" s="70"/>
      <c r="H693" s="71" t="b">
        <v>1</v>
      </c>
      <c r="I693" s="193"/>
      <c r="J693" s="193"/>
    </row>
    <row r="694" ht="57.0" hidden="1" customHeight="1" outlineLevel="1">
      <c r="A694" s="60" t="s">
        <v>968</v>
      </c>
      <c r="B694" s="61" t="b">
        <v>0</v>
      </c>
      <c r="C694" s="61" t="b">
        <v>0</v>
      </c>
      <c r="D694" s="62" t="s">
        <v>49</v>
      </c>
      <c r="E694" s="62" t="s">
        <v>678</v>
      </c>
      <c r="F694" s="62" t="s">
        <v>582</v>
      </c>
      <c r="G694" s="63"/>
      <c r="H694" s="53" t="b">
        <v>1</v>
      </c>
      <c r="I694" s="193"/>
      <c r="J694" s="193"/>
    </row>
    <row r="695" ht="57.0" hidden="1" customHeight="1" outlineLevel="1">
      <c r="A695" s="66" t="s">
        <v>969</v>
      </c>
      <c r="B695" s="68" t="b">
        <v>0</v>
      </c>
      <c r="C695" s="68" t="b">
        <v>0</v>
      </c>
      <c r="D695" s="69" t="s">
        <v>49</v>
      </c>
      <c r="E695" s="69" t="s">
        <v>595</v>
      </c>
      <c r="F695" s="69" t="s">
        <v>582</v>
      </c>
      <c r="G695" s="70"/>
      <c r="H695" s="71" t="b">
        <v>1</v>
      </c>
      <c r="I695" s="193"/>
      <c r="J695" s="193"/>
    </row>
    <row r="696" ht="57.0" hidden="1" customHeight="1" outlineLevel="1">
      <c r="A696" s="60" t="s">
        <v>970</v>
      </c>
      <c r="B696" s="61" t="b">
        <v>0</v>
      </c>
      <c r="C696" s="61" t="b">
        <v>0</v>
      </c>
      <c r="D696" s="62" t="s">
        <v>49</v>
      </c>
      <c r="E696" s="62" t="s">
        <v>595</v>
      </c>
      <c r="F696" s="62" t="s">
        <v>582</v>
      </c>
      <c r="G696" s="63"/>
      <c r="H696" s="53" t="b">
        <v>1</v>
      </c>
      <c r="I696" s="193"/>
      <c r="J696" s="193"/>
    </row>
    <row r="697" ht="57.0" hidden="1" customHeight="1" outlineLevel="1">
      <c r="A697" s="66" t="s">
        <v>971</v>
      </c>
      <c r="B697" s="68" t="b">
        <v>0</v>
      </c>
      <c r="C697" s="68" t="b">
        <v>0</v>
      </c>
      <c r="D697" s="69" t="s">
        <v>49</v>
      </c>
      <c r="E697" s="69" t="s">
        <v>593</v>
      </c>
      <c r="F697" s="69" t="s">
        <v>582</v>
      </c>
      <c r="G697" s="70"/>
      <c r="H697" s="71" t="b">
        <v>1</v>
      </c>
      <c r="I697" s="193"/>
      <c r="J697" s="193"/>
    </row>
    <row r="698" ht="57.0" hidden="1" customHeight="1" outlineLevel="1">
      <c r="A698" s="60" t="s">
        <v>972</v>
      </c>
      <c r="B698" s="61" t="b">
        <v>0</v>
      </c>
      <c r="C698" s="61" t="b">
        <v>0</v>
      </c>
      <c r="D698" s="62" t="s">
        <v>49</v>
      </c>
      <c r="E698" s="62" t="s">
        <v>585</v>
      </c>
      <c r="F698" s="62" t="s">
        <v>582</v>
      </c>
      <c r="G698" s="63"/>
      <c r="H698" s="53" t="b">
        <v>1</v>
      </c>
      <c r="I698" s="193"/>
      <c r="J698" s="193"/>
    </row>
    <row r="699" ht="57.0" hidden="1" customHeight="1" outlineLevel="1">
      <c r="A699" s="66" t="s">
        <v>973</v>
      </c>
      <c r="B699" s="68" t="b">
        <v>0</v>
      </c>
      <c r="C699" s="68" t="b">
        <v>0</v>
      </c>
      <c r="D699" s="69" t="s">
        <v>401</v>
      </c>
      <c r="E699" s="69" t="s">
        <v>618</v>
      </c>
      <c r="F699" s="69" t="s">
        <v>582</v>
      </c>
      <c r="G699" s="70"/>
      <c r="H699" s="71" t="b">
        <v>1</v>
      </c>
      <c r="I699" s="193"/>
      <c r="J699" s="193"/>
    </row>
    <row r="700" ht="57.0" customHeight="1" collapsed="1">
      <c r="A700" s="180" t="s">
        <v>974</v>
      </c>
      <c r="B700" s="181" t="b">
        <v>0</v>
      </c>
      <c r="C700" s="181" t="b">
        <v>0</v>
      </c>
      <c r="D700" s="182" t="s">
        <v>49</v>
      </c>
      <c r="E700" s="182" t="s">
        <v>975</v>
      </c>
      <c r="F700" s="182" t="s">
        <v>851</v>
      </c>
      <c r="G700" s="183" t="s">
        <v>976</v>
      </c>
      <c r="H700" s="187" t="b">
        <v>0</v>
      </c>
      <c r="I700" s="193"/>
      <c r="J700" s="193"/>
    </row>
    <row r="701" ht="57.0" hidden="1" customHeight="1" outlineLevel="1">
      <c r="A701" s="60" t="s">
        <v>977</v>
      </c>
      <c r="B701" s="61" t="b">
        <v>0</v>
      </c>
      <c r="C701" s="61" t="b">
        <v>0</v>
      </c>
      <c r="D701" s="62" t="s">
        <v>49</v>
      </c>
      <c r="E701" s="62" t="s">
        <v>539</v>
      </c>
      <c r="F701" s="62" t="s">
        <v>851</v>
      </c>
      <c r="G701" s="63"/>
      <c r="H701" s="53" t="b">
        <v>1</v>
      </c>
      <c r="I701" s="193"/>
      <c r="J701" s="193"/>
    </row>
    <row r="702" ht="57.0" hidden="1" customHeight="1" outlineLevel="1">
      <c r="A702" s="66" t="s">
        <v>978</v>
      </c>
      <c r="B702" s="68" t="b">
        <v>0</v>
      </c>
      <c r="C702" s="68" t="b">
        <v>0</v>
      </c>
      <c r="D702" s="69" t="s">
        <v>49</v>
      </c>
      <c r="E702" s="69" t="s">
        <v>551</v>
      </c>
      <c r="F702" s="69" t="s">
        <v>851</v>
      </c>
      <c r="G702" s="70"/>
      <c r="H702" s="71" t="b">
        <v>1</v>
      </c>
      <c r="I702" s="193"/>
      <c r="J702" s="193"/>
    </row>
    <row r="703" ht="57.0" hidden="1" customHeight="1" outlineLevel="1">
      <c r="A703" s="60" t="s">
        <v>979</v>
      </c>
      <c r="B703" s="61" t="b">
        <v>0</v>
      </c>
      <c r="C703" s="61" t="b">
        <v>0</v>
      </c>
      <c r="D703" s="62" t="s">
        <v>49</v>
      </c>
      <c r="E703" s="62" t="s">
        <v>539</v>
      </c>
      <c r="F703" s="62" t="s">
        <v>851</v>
      </c>
      <c r="G703" s="63"/>
      <c r="H703" s="53" t="b">
        <v>1</v>
      </c>
      <c r="I703" s="193"/>
      <c r="J703" s="193"/>
    </row>
    <row r="704" ht="57.0" hidden="1" customHeight="1" outlineLevel="1">
      <c r="A704" s="66" t="s">
        <v>980</v>
      </c>
      <c r="B704" s="68" t="b">
        <v>0</v>
      </c>
      <c r="C704" s="68" t="b">
        <v>0</v>
      </c>
      <c r="D704" s="69" t="s">
        <v>49</v>
      </c>
      <c r="E704" s="69" t="s">
        <v>539</v>
      </c>
      <c r="F704" s="69" t="s">
        <v>851</v>
      </c>
      <c r="G704" s="70"/>
      <c r="H704" s="71" t="b">
        <v>1</v>
      </c>
      <c r="I704" s="193"/>
      <c r="J704" s="193"/>
    </row>
    <row r="705" ht="57.0" hidden="1" customHeight="1" outlineLevel="1">
      <c r="A705" s="60" t="s">
        <v>981</v>
      </c>
      <c r="B705" s="61" t="b">
        <v>0</v>
      </c>
      <c r="C705" s="61" t="b">
        <v>0</v>
      </c>
      <c r="D705" s="62" t="s">
        <v>49</v>
      </c>
      <c r="E705" s="62" t="s">
        <v>539</v>
      </c>
      <c r="F705" s="62" t="s">
        <v>851</v>
      </c>
      <c r="G705" s="63"/>
      <c r="H705" s="53" t="b">
        <v>1</v>
      </c>
      <c r="I705" s="193"/>
      <c r="J705" s="193"/>
    </row>
    <row r="706" ht="57.0" hidden="1" customHeight="1" outlineLevel="1">
      <c r="A706" s="66" t="s">
        <v>982</v>
      </c>
      <c r="B706" s="68" t="b">
        <v>0</v>
      </c>
      <c r="C706" s="68" t="b">
        <v>0</v>
      </c>
      <c r="D706" s="69" t="s">
        <v>49</v>
      </c>
      <c r="E706" s="69" t="s">
        <v>551</v>
      </c>
      <c r="F706" s="69" t="s">
        <v>851</v>
      </c>
      <c r="G706" s="70"/>
      <c r="H706" s="71" t="b">
        <v>1</v>
      </c>
      <c r="I706" s="193"/>
      <c r="J706" s="193"/>
    </row>
    <row r="707" ht="57.0" hidden="1" customHeight="1" outlineLevel="1">
      <c r="A707" s="60" t="s">
        <v>983</v>
      </c>
      <c r="B707" s="61" t="b">
        <v>0</v>
      </c>
      <c r="C707" s="61" t="b">
        <v>0</v>
      </c>
      <c r="D707" s="62" t="s">
        <v>49</v>
      </c>
      <c r="E707" s="62" t="s">
        <v>539</v>
      </c>
      <c r="F707" s="62" t="s">
        <v>851</v>
      </c>
      <c r="G707" s="63"/>
      <c r="H707" s="53" t="b">
        <v>1</v>
      </c>
      <c r="I707" s="193"/>
      <c r="J707" s="193"/>
    </row>
    <row r="708" ht="57.0" hidden="1" customHeight="1" outlineLevel="1">
      <c r="A708" s="66" t="s">
        <v>984</v>
      </c>
      <c r="B708" s="68" t="b">
        <v>0</v>
      </c>
      <c r="C708" s="68" t="b">
        <v>0</v>
      </c>
      <c r="D708" s="69" t="s">
        <v>49</v>
      </c>
      <c r="E708" s="69" t="s">
        <v>539</v>
      </c>
      <c r="F708" s="69" t="s">
        <v>851</v>
      </c>
      <c r="G708" s="70"/>
      <c r="H708" s="71" t="b">
        <v>1</v>
      </c>
      <c r="I708" s="193"/>
      <c r="J708" s="193"/>
    </row>
    <row r="709" ht="57.0" hidden="1" customHeight="1" outlineLevel="1">
      <c r="A709" s="60" t="s">
        <v>985</v>
      </c>
      <c r="B709" s="61" t="b">
        <v>0</v>
      </c>
      <c r="C709" s="61" t="b">
        <v>0</v>
      </c>
      <c r="D709" s="62" t="s">
        <v>49</v>
      </c>
      <c r="E709" s="62" t="s">
        <v>539</v>
      </c>
      <c r="F709" s="62" t="s">
        <v>851</v>
      </c>
      <c r="G709" s="63"/>
      <c r="H709" s="53" t="b">
        <v>1</v>
      </c>
      <c r="I709" s="193"/>
      <c r="J709" s="193"/>
    </row>
    <row r="710" ht="57.0" hidden="1" customHeight="1" outlineLevel="1">
      <c r="A710" s="66" t="s">
        <v>986</v>
      </c>
      <c r="B710" s="68" t="b">
        <v>0</v>
      </c>
      <c r="C710" s="68" t="b">
        <v>0</v>
      </c>
      <c r="D710" s="69" t="s">
        <v>49</v>
      </c>
      <c r="E710" s="69" t="s">
        <v>551</v>
      </c>
      <c r="F710" s="69" t="s">
        <v>851</v>
      </c>
      <c r="G710" s="70"/>
      <c r="H710" s="71" t="b">
        <v>1</v>
      </c>
      <c r="I710" s="193"/>
      <c r="J710" s="193"/>
    </row>
    <row r="711" ht="57.0" hidden="1" customHeight="1" outlineLevel="1">
      <c r="A711" s="60" t="s">
        <v>987</v>
      </c>
      <c r="B711" s="61" t="b">
        <v>0</v>
      </c>
      <c r="C711" s="61" t="b">
        <v>0</v>
      </c>
      <c r="D711" s="62" t="s">
        <v>49</v>
      </c>
      <c r="E711" s="62" t="s">
        <v>551</v>
      </c>
      <c r="F711" s="62" t="s">
        <v>851</v>
      </c>
      <c r="G711" s="63"/>
      <c r="H711" s="53" t="b">
        <v>1</v>
      </c>
      <c r="I711" s="193"/>
      <c r="J711" s="193"/>
    </row>
    <row r="712" ht="57.0" hidden="1" customHeight="1" outlineLevel="1">
      <c r="A712" s="66" t="s">
        <v>988</v>
      </c>
      <c r="B712" s="68" t="b">
        <v>0</v>
      </c>
      <c r="C712" s="68" t="b">
        <v>0</v>
      </c>
      <c r="D712" s="69" t="s">
        <v>49</v>
      </c>
      <c r="E712" s="69" t="s">
        <v>551</v>
      </c>
      <c r="F712" s="69" t="s">
        <v>851</v>
      </c>
      <c r="G712" s="70"/>
      <c r="H712" s="71" t="b">
        <v>1</v>
      </c>
      <c r="I712" s="193"/>
      <c r="J712" s="193"/>
    </row>
    <row r="713" ht="57.0" hidden="1" customHeight="1" outlineLevel="1">
      <c r="A713" s="60" t="s">
        <v>989</v>
      </c>
      <c r="B713" s="61" t="b">
        <v>0</v>
      </c>
      <c r="C713" s="61" t="b">
        <v>0</v>
      </c>
      <c r="D713" s="62" t="s">
        <v>49</v>
      </c>
      <c r="E713" s="62" t="s">
        <v>539</v>
      </c>
      <c r="F713" s="62" t="s">
        <v>851</v>
      </c>
      <c r="G713" s="63"/>
      <c r="H713" s="53" t="b">
        <v>1</v>
      </c>
      <c r="I713" s="193"/>
      <c r="J713" s="193"/>
    </row>
    <row r="714" ht="57.0" hidden="1" customHeight="1" outlineLevel="1">
      <c r="A714" s="66" t="s">
        <v>990</v>
      </c>
      <c r="B714" s="68" t="b">
        <v>0</v>
      </c>
      <c r="C714" s="68" t="b">
        <v>0</v>
      </c>
      <c r="D714" s="69" t="s">
        <v>49</v>
      </c>
      <c r="E714" s="69" t="s">
        <v>551</v>
      </c>
      <c r="F714" s="69" t="s">
        <v>851</v>
      </c>
      <c r="G714" s="70"/>
      <c r="H714" s="71" t="b">
        <v>1</v>
      </c>
      <c r="I714" s="193"/>
      <c r="J714" s="193"/>
    </row>
    <row r="715" ht="57.0" hidden="1" customHeight="1" outlineLevel="1">
      <c r="A715" s="60" t="s">
        <v>991</v>
      </c>
      <c r="B715" s="61" t="b">
        <v>0</v>
      </c>
      <c r="C715" s="61" t="b">
        <v>0</v>
      </c>
      <c r="D715" s="62" t="s">
        <v>49</v>
      </c>
      <c r="E715" s="62" t="s">
        <v>539</v>
      </c>
      <c r="F715" s="62" t="s">
        <v>851</v>
      </c>
      <c r="G715" s="63"/>
      <c r="H715" s="53" t="b">
        <v>1</v>
      </c>
      <c r="I715" s="193"/>
      <c r="J715" s="193"/>
    </row>
    <row r="716" ht="57.0" hidden="1" customHeight="1" outlineLevel="1">
      <c r="A716" s="66" t="s">
        <v>992</v>
      </c>
      <c r="B716" s="68" t="b">
        <v>0</v>
      </c>
      <c r="C716" s="68" t="b">
        <v>0</v>
      </c>
      <c r="D716" s="69" t="s">
        <v>49</v>
      </c>
      <c r="E716" s="69" t="s">
        <v>551</v>
      </c>
      <c r="F716" s="69" t="s">
        <v>851</v>
      </c>
      <c r="G716" s="70" t="s">
        <v>993</v>
      </c>
      <c r="H716" s="71" t="b">
        <v>1</v>
      </c>
      <c r="I716" s="193"/>
      <c r="J716" s="193"/>
    </row>
    <row r="717" ht="57.0" customHeight="1">
      <c r="A717" s="60" t="s">
        <v>994</v>
      </c>
      <c r="B717" s="61" t="b">
        <v>0</v>
      </c>
      <c r="C717" s="61" t="b">
        <v>0</v>
      </c>
      <c r="D717" s="62" t="s">
        <v>401</v>
      </c>
      <c r="E717" s="62" t="s">
        <v>460</v>
      </c>
      <c r="F717" s="62" t="s">
        <v>995</v>
      </c>
      <c r="G717" s="63"/>
      <c r="H717" s="53" t="b">
        <v>0</v>
      </c>
      <c r="I717" s="193"/>
      <c r="J717" s="193"/>
    </row>
    <row r="718" ht="57.0" customHeight="1" collapsed="1">
      <c r="A718" s="180" t="s">
        <v>996</v>
      </c>
      <c r="B718" s="181" t="b">
        <v>0</v>
      </c>
      <c r="C718" s="181" t="b">
        <v>0</v>
      </c>
      <c r="D718" s="182" t="s">
        <v>997</v>
      </c>
      <c r="E718" s="182" t="s">
        <v>867</v>
      </c>
      <c r="F718" s="182" t="s">
        <v>582</v>
      </c>
      <c r="G718" s="183"/>
      <c r="H718" s="187" t="b">
        <v>0</v>
      </c>
      <c r="I718" s="193"/>
      <c r="J718" s="193"/>
    </row>
    <row r="719" ht="57.0" hidden="1" customHeight="1" outlineLevel="1">
      <c r="A719" s="60" t="s">
        <v>998</v>
      </c>
      <c r="B719" s="61" t="b">
        <v>0</v>
      </c>
      <c r="C719" s="61" t="b">
        <v>0</v>
      </c>
      <c r="D719" s="62" t="s">
        <v>49</v>
      </c>
      <c r="E719" s="62" t="s">
        <v>620</v>
      </c>
      <c r="F719" s="62" t="s">
        <v>582</v>
      </c>
      <c r="G719" s="63"/>
      <c r="H719" s="53" t="b">
        <v>1</v>
      </c>
      <c r="I719" s="193"/>
      <c r="J719" s="193"/>
    </row>
    <row r="720" ht="57.0" hidden="1" customHeight="1" outlineLevel="1">
      <c r="A720" s="66" t="s">
        <v>999</v>
      </c>
      <c r="B720" s="68" t="b">
        <v>0</v>
      </c>
      <c r="C720" s="68" t="b">
        <v>0</v>
      </c>
      <c r="D720" s="69" t="s">
        <v>49</v>
      </c>
      <c r="E720" s="69" t="s">
        <v>678</v>
      </c>
      <c r="F720" s="69" t="s">
        <v>582</v>
      </c>
      <c r="G720" s="70"/>
      <c r="H720" s="71" t="b">
        <v>1</v>
      </c>
      <c r="I720" s="193"/>
      <c r="J720" s="193"/>
    </row>
    <row r="721" ht="57.0" hidden="1" customHeight="1" outlineLevel="1">
      <c r="A721" s="60" t="s">
        <v>1000</v>
      </c>
      <c r="B721" s="61" t="b">
        <v>0</v>
      </c>
      <c r="C721" s="61" t="b">
        <v>0</v>
      </c>
      <c r="D721" s="62" t="s">
        <v>49</v>
      </c>
      <c r="E721" s="62" t="s">
        <v>678</v>
      </c>
      <c r="F721" s="62" t="s">
        <v>582</v>
      </c>
      <c r="G721" s="63"/>
      <c r="H721" s="53" t="b">
        <v>1</v>
      </c>
      <c r="I721" s="193"/>
      <c r="J721" s="193"/>
    </row>
    <row r="722" ht="57.0" hidden="1" customHeight="1" outlineLevel="1">
      <c r="A722" s="66" t="s">
        <v>1001</v>
      </c>
      <c r="B722" s="68" t="b">
        <v>0</v>
      </c>
      <c r="C722" s="68" t="b">
        <v>0</v>
      </c>
      <c r="D722" s="69" t="s">
        <v>49</v>
      </c>
      <c r="E722" s="69" t="s">
        <v>618</v>
      </c>
      <c r="F722" s="69" t="s">
        <v>582</v>
      </c>
      <c r="G722" s="70"/>
      <c r="H722" s="71" t="b">
        <v>1</v>
      </c>
      <c r="I722" s="193"/>
      <c r="J722" s="193"/>
    </row>
    <row r="723" ht="57.0" hidden="1" customHeight="1" outlineLevel="1">
      <c r="A723" s="60" t="s">
        <v>1002</v>
      </c>
      <c r="B723" s="61" t="b">
        <v>0</v>
      </c>
      <c r="C723" s="61" t="b">
        <v>0</v>
      </c>
      <c r="D723" s="62" t="s">
        <v>49</v>
      </c>
      <c r="E723" s="62" t="s">
        <v>618</v>
      </c>
      <c r="F723" s="62" t="s">
        <v>582</v>
      </c>
      <c r="G723" s="63"/>
      <c r="H723" s="53" t="b">
        <v>1</v>
      </c>
      <c r="I723" s="193"/>
      <c r="J723" s="193"/>
    </row>
    <row r="724" ht="57.0" hidden="1" customHeight="1" outlineLevel="1">
      <c r="A724" s="66" t="s">
        <v>1003</v>
      </c>
      <c r="B724" s="68" t="b">
        <v>0</v>
      </c>
      <c r="C724" s="68" t="b">
        <v>0</v>
      </c>
      <c r="D724" s="69" t="s">
        <v>49</v>
      </c>
      <c r="E724" s="69" t="s">
        <v>618</v>
      </c>
      <c r="F724" s="69" t="s">
        <v>582</v>
      </c>
      <c r="G724" s="70"/>
      <c r="H724" s="71" t="b">
        <v>1</v>
      </c>
      <c r="I724" s="193"/>
      <c r="J724" s="193"/>
    </row>
    <row r="725" ht="57.0" hidden="1" customHeight="1" outlineLevel="1">
      <c r="A725" s="60" t="s">
        <v>1004</v>
      </c>
      <c r="B725" s="61" t="b">
        <v>0</v>
      </c>
      <c r="C725" s="61" t="b">
        <v>0</v>
      </c>
      <c r="D725" s="62" t="s">
        <v>49</v>
      </c>
      <c r="E725" s="62" t="s">
        <v>678</v>
      </c>
      <c r="F725" s="62" t="s">
        <v>582</v>
      </c>
      <c r="G725" s="63"/>
      <c r="H725" s="53" t="b">
        <v>1</v>
      </c>
      <c r="I725" s="193"/>
      <c r="J725" s="193"/>
    </row>
    <row r="726" ht="57.0" hidden="1" customHeight="1" outlineLevel="1">
      <c r="A726" s="66" t="s">
        <v>1005</v>
      </c>
      <c r="B726" s="68" t="b">
        <v>0</v>
      </c>
      <c r="C726" s="68" t="b">
        <v>0</v>
      </c>
      <c r="D726" s="69" t="s">
        <v>49</v>
      </c>
      <c r="E726" s="69" t="s">
        <v>588</v>
      </c>
      <c r="F726" s="69" t="s">
        <v>582</v>
      </c>
      <c r="G726" s="70"/>
      <c r="H726" s="71" t="b">
        <v>1</v>
      </c>
      <c r="I726" s="193"/>
      <c r="J726" s="193"/>
    </row>
    <row r="727" ht="57.0" hidden="1" customHeight="1" outlineLevel="1">
      <c r="A727" s="60" t="s">
        <v>1006</v>
      </c>
      <c r="B727" s="61" t="b">
        <v>0</v>
      </c>
      <c r="C727" s="61" t="b">
        <v>0</v>
      </c>
      <c r="D727" s="62" t="s">
        <v>49</v>
      </c>
      <c r="E727" s="62" t="s">
        <v>618</v>
      </c>
      <c r="F727" s="62" t="s">
        <v>582</v>
      </c>
      <c r="G727" s="63"/>
      <c r="H727" s="53" t="b">
        <v>1</v>
      </c>
      <c r="I727" s="193"/>
      <c r="J727" s="193"/>
    </row>
    <row r="728" ht="57.0" hidden="1" customHeight="1" outlineLevel="1">
      <c r="A728" s="66" t="s">
        <v>1007</v>
      </c>
      <c r="B728" s="68" t="b">
        <v>0</v>
      </c>
      <c r="C728" s="68" t="b">
        <v>0</v>
      </c>
      <c r="D728" s="69" t="s">
        <v>49</v>
      </c>
      <c r="E728" s="69" t="s">
        <v>798</v>
      </c>
      <c r="F728" s="69" t="s">
        <v>582</v>
      </c>
      <c r="G728" s="70"/>
      <c r="H728" s="71" t="b">
        <v>1</v>
      </c>
      <c r="I728" s="193"/>
      <c r="J728" s="193"/>
    </row>
    <row r="729" ht="57.0" hidden="1" customHeight="1" outlineLevel="1">
      <c r="A729" s="60" t="s">
        <v>1008</v>
      </c>
      <c r="B729" s="61" t="b">
        <v>0</v>
      </c>
      <c r="C729" s="61" t="b">
        <v>0</v>
      </c>
      <c r="D729" s="62" t="s">
        <v>49</v>
      </c>
      <c r="E729" s="62" t="s">
        <v>585</v>
      </c>
      <c r="F729" s="62" t="s">
        <v>582</v>
      </c>
      <c r="G729" s="63"/>
      <c r="H729" s="53" t="b">
        <v>1</v>
      </c>
      <c r="I729" s="193"/>
      <c r="J729" s="193"/>
    </row>
    <row r="730" ht="57.0" hidden="1" customHeight="1" outlineLevel="1">
      <c r="A730" s="66" t="s">
        <v>1009</v>
      </c>
      <c r="B730" s="68" t="b">
        <v>0</v>
      </c>
      <c r="C730" s="68" t="b">
        <v>0</v>
      </c>
      <c r="D730" s="69" t="s">
        <v>49</v>
      </c>
      <c r="E730" s="69" t="s">
        <v>624</v>
      </c>
      <c r="F730" s="69" t="s">
        <v>582</v>
      </c>
      <c r="G730" s="70"/>
      <c r="H730" s="71" t="b">
        <v>1</v>
      </c>
      <c r="I730" s="193"/>
      <c r="J730" s="193"/>
    </row>
    <row r="731" ht="57.0" hidden="1" customHeight="1" outlineLevel="1">
      <c r="A731" s="60" t="s">
        <v>1010</v>
      </c>
      <c r="B731" s="61" t="b">
        <v>0</v>
      </c>
      <c r="C731" s="61" t="b">
        <v>0</v>
      </c>
      <c r="D731" s="62" t="s">
        <v>401</v>
      </c>
      <c r="E731" s="62" t="s">
        <v>618</v>
      </c>
      <c r="F731" s="62" t="s">
        <v>582</v>
      </c>
      <c r="G731" s="63"/>
      <c r="H731" s="53" t="b">
        <v>1</v>
      </c>
      <c r="I731" s="193"/>
      <c r="J731" s="193"/>
    </row>
    <row r="732" ht="57.0" customHeight="1" collapsed="1">
      <c r="A732" s="60" t="s">
        <v>1011</v>
      </c>
      <c r="B732" s="61" t="b">
        <v>0</v>
      </c>
      <c r="C732" s="61" t="b">
        <v>0</v>
      </c>
      <c r="D732" s="62" t="s">
        <v>49</v>
      </c>
      <c r="E732" s="62" t="s">
        <v>1012</v>
      </c>
      <c r="F732" s="62" t="s">
        <v>502</v>
      </c>
      <c r="G732" s="63"/>
      <c r="H732" s="53" t="b">
        <v>0</v>
      </c>
      <c r="I732" s="193"/>
      <c r="J732" s="193"/>
    </row>
    <row r="733" ht="57.0" hidden="1" customHeight="1" outlineLevel="1">
      <c r="A733" s="60" t="s">
        <v>1013</v>
      </c>
      <c r="B733" s="61" t="b">
        <v>0</v>
      </c>
      <c r="C733" s="61" t="b">
        <v>0</v>
      </c>
      <c r="D733" s="62" t="s">
        <v>49</v>
      </c>
      <c r="E733" s="62" t="s">
        <v>620</v>
      </c>
      <c r="F733" s="62" t="s">
        <v>502</v>
      </c>
      <c r="G733" s="63"/>
      <c r="H733" s="53" t="b">
        <v>1</v>
      </c>
      <c r="I733" s="193"/>
      <c r="J733" s="193"/>
    </row>
    <row r="734" ht="57.0" hidden="1" customHeight="1" outlineLevel="1">
      <c r="A734" s="66" t="s">
        <v>1014</v>
      </c>
      <c r="B734" s="68" t="b">
        <v>0</v>
      </c>
      <c r="C734" s="68" t="b">
        <v>0</v>
      </c>
      <c r="D734" s="69" t="s">
        <v>49</v>
      </c>
      <c r="E734" s="69" t="s">
        <v>798</v>
      </c>
      <c r="F734" s="69" t="s">
        <v>502</v>
      </c>
      <c r="G734" s="70"/>
      <c r="H734" s="71" t="b">
        <v>1</v>
      </c>
      <c r="I734" s="193"/>
      <c r="J734" s="193"/>
    </row>
    <row r="735" ht="57.0" hidden="1" customHeight="1" outlineLevel="1">
      <c r="A735" s="60" t="s">
        <v>1015</v>
      </c>
      <c r="B735" s="61" t="b">
        <v>0</v>
      </c>
      <c r="C735" s="61" t="b">
        <v>0</v>
      </c>
      <c r="D735" s="62" t="s">
        <v>49</v>
      </c>
      <c r="E735" s="62" t="s">
        <v>430</v>
      </c>
      <c r="F735" s="62" t="s">
        <v>502</v>
      </c>
      <c r="G735" s="63"/>
      <c r="H735" s="53" t="b">
        <v>1</v>
      </c>
      <c r="I735" s="193"/>
      <c r="J735" s="193"/>
    </row>
    <row r="736" ht="57.0" hidden="1" customHeight="1" outlineLevel="1">
      <c r="A736" s="66" t="s">
        <v>1016</v>
      </c>
      <c r="B736" s="68" t="b">
        <v>0</v>
      </c>
      <c r="C736" s="68" t="b">
        <v>0</v>
      </c>
      <c r="D736" s="69" t="s">
        <v>49</v>
      </c>
      <c r="E736" s="69" t="s">
        <v>628</v>
      </c>
      <c r="F736" s="69" t="s">
        <v>502</v>
      </c>
      <c r="G736" s="70"/>
      <c r="H736" s="71" t="b">
        <v>1</v>
      </c>
      <c r="I736" s="193"/>
      <c r="J736" s="193"/>
    </row>
    <row r="737" ht="57.0" hidden="1" customHeight="1" outlineLevel="1">
      <c r="A737" s="60" t="s">
        <v>1017</v>
      </c>
      <c r="B737" s="61" t="b">
        <v>0</v>
      </c>
      <c r="C737" s="61" t="b">
        <v>0</v>
      </c>
      <c r="D737" s="62" t="s">
        <v>49</v>
      </c>
      <c r="E737" s="62" t="s">
        <v>620</v>
      </c>
      <c r="F737" s="62" t="s">
        <v>502</v>
      </c>
      <c r="G737" s="63"/>
      <c r="H737" s="53" t="b">
        <v>1</v>
      </c>
      <c r="I737" s="193"/>
      <c r="J737" s="193"/>
    </row>
    <row r="738" ht="57.0" hidden="1" customHeight="1" outlineLevel="1">
      <c r="A738" s="66" t="s">
        <v>1018</v>
      </c>
      <c r="B738" s="68" t="b">
        <v>0</v>
      </c>
      <c r="C738" s="68" t="b">
        <v>0</v>
      </c>
      <c r="D738" s="69" t="s">
        <v>49</v>
      </c>
      <c r="E738" s="69" t="s">
        <v>798</v>
      </c>
      <c r="F738" s="69" t="s">
        <v>502</v>
      </c>
      <c r="G738" s="70"/>
      <c r="H738" s="71" t="b">
        <v>1</v>
      </c>
      <c r="I738" s="193"/>
      <c r="J738" s="193"/>
    </row>
    <row r="739" ht="57.0" hidden="1" customHeight="1" outlineLevel="1">
      <c r="A739" s="60" t="s">
        <v>1019</v>
      </c>
      <c r="B739" s="61" t="b">
        <v>0</v>
      </c>
      <c r="C739" s="61" t="b">
        <v>0</v>
      </c>
      <c r="D739" s="62" t="s">
        <v>49</v>
      </c>
      <c r="E739" s="62" t="s">
        <v>678</v>
      </c>
      <c r="F739" s="62" t="s">
        <v>502</v>
      </c>
      <c r="G739" s="63"/>
      <c r="H739" s="53" t="b">
        <v>1</v>
      </c>
      <c r="I739" s="193"/>
      <c r="J739" s="193"/>
    </row>
    <row r="740" ht="57.0" hidden="1" customHeight="1" outlineLevel="1">
      <c r="A740" s="66" t="s">
        <v>1020</v>
      </c>
      <c r="B740" s="68" t="b">
        <v>0</v>
      </c>
      <c r="C740" s="68" t="b">
        <v>0</v>
      </c>
      <c r="D740" s="69" t="s">
        <v>49</v>
      </c>
      <c r="E740" s="69" t="s">
        <v>798</v>
      </c>
      <c r="F740" s="69" t="s">
        <v>502</v>
      </c>
      <c r="G740" s="70"/>
      <c r="H740" s="71" t="b">
        <v>1</v>
      </c>
      <c r="I740" s="193"/>
      <c r="J740" s="193"/>
    </row>
    <row r="741" ht="57.0" hidden="1" customHeight="1" outlineLevel="1">
      <c r="A741" s="60" t="s">
        <v>1021</v>
      </c>
      <c r="B741" s="61" t="b">
        <v>0</v>
      </c>
      <c r="C741" s="61" t="b">
        <v>0</v>
      </c>
      <c r="D741" s="62" t="s">
        <v>49</v>
      </c>
      <c r="E741" s="62" t="s">
        <v>595</v>
      </c>
      <c r="F741" s="62" t="s">
        <v>502</v>
      </c>
      <c r="G741" s="63"/>
      <c r="H741" s="53" t="b">
        <v>1</v>
      </c>
      <c r="I741" s="193"/>
      <c r="J741" s="193"/>
    </row>
    <row r="742" ht="57.0" hidden="1" customHeight="1" outlineLevel="1">
      <c r="A742" s="66" t="s">
        <v>1022</v>
      </c>
      <c r="B742" s="68" t="b">
        <v>0</v>
      </c>
      <c r="C742" s="68" t="b">
        <v>0</v>
      </c>
      <c r="D742" s="69" t="s">
        <v>49</v>
      </c>
      <c r="E742" s="69" t="s">
        <v>618</v>
      </c>
      <c r="F742" s="69" t="s">
        <v>502</v>
      </c>
      <c r="G742" s="70"/>
      <c r="H742" s="71" t="b">
        <v>1</v>
      </c>
      <c r="I742" s="193"/>
      <c r="J742" s="193"/>
    </row>
    <row r="743" ht="57.0" hidden="1" customHeight="1" outlineLevel="1">
      <c r="A743" s="60" t="s">
        <v>1023</v>
      </c>
      <c r="B743" s="61" t="b">
        <v>0</v>
      </c>
      <c r="C743" s="61" t="b">
        <v>0</v>
      </c>
      <c r="D743" s="62" t="s">
        <v>49</v>
      </c>
      <c r="E743" s="62" t="s">
        <v>620</v>
      </c>
      <c r="F743" s="62" t="s">
        <v>502</v>
      </c>
      <c r="G743" s="63"/>
      <c r="H743" s="53" t="b">
        <v>1</v>
      </c>
      <c r="I743" s="193"/>
      <c r="J743" s="193"/>
    </row>
    <row r="744" ht="57.0" hidden="1" customHeight="1" outlineLevel="1">
      <c r="A744" s="66" t="s">
        <v>1024</v>
      </c>
      <c r="B744" s="68" t="b">
        <v>0</v>
      </c>
      <c r="C744" s="68" t="b">
        <v>0</v>
      </c>
      <c r="D744" s="69" t="s">
        <v>49</v>
      </c>
      <c r="E744" s="69" t="s">
        <v>595</v>
      </c>
      <c r="F744" s="69" t="s">
        <v>502</v>
      </c>
      <c r="G744" s="70"/>
      <c r="H744" s="71" t="b">
        <v>1</v>
      </c>
      <c r="I744" s="193"/>
      <c r="J744" s="193"/>
    </row>
    <row r="745" ht="57.0" hidden="1" customHeight="1" outlineLevel="1">
      <c r="A745" s="60" t="s">
        <v>1025</v>
      </c>
      <c r="B745" s="61" t="b">
        <v>0</v>
      </c>
      <c r="C745" s="61" t="b">
        <v>0</v>
      </c>
      <c r="D745" s="62" t="s">
        <v>49</v>
      </c>
      <c r="E745" s="62" t="s">
        <v>798</v>
      </c>
      <c r="F745" s="62" t="s">
        <v>502</v>
      </c>
      <c r="G745" s="63"/>
      <c r="H745" s="53" t="b">
        <v>1</v>
      </c>
      <c r="I745" s="193"/>
      <c r="J745" s="193"/>
    </row>
    <row r="746" ht="57.0" customHeight="1">
      <c r="A746" s="180" t="s">
        <v>1026</v>
      </c>
      <c r="B746" s="181" t="b">
        <v>0</v>
      </c>
      <c r="C746" s="181" t="b">
        <v>0</v>
      </c>
      <c r="D746" s="182" t="s">
        <v>401</v>
      </c>
      <c r="E746" s="182" t="s">
        <v>396</v>
      </c>
      <c r="F746" s="182" t="s">
        <v>1027</v>
      </c>
      <c r="G746" s="207"/>
      <c r="H746" s="187" t="b">
        <v>0</v>
      </c>
      <c r="I746" s="193"/>
      <c r="J746" s="193"/>
    </row>
    <row r="747" ht="57.0" customHeight="1" collapsed="1">
      <c r="A747" s="60" t="s">
        <v>1028</v>
      </c>
      <c r="B747" s="61" t="b">
        <v>0</v>
      </c>
      <c r="C747" s="61" t="b">
        <v>0</v>
      </c>
      <c r="D747" s="62" t="s">
        <v>49</v>
      </c>
      <c r="E747" s="62" t="s">
        <v>1029</v>
      </c>
      <c r="F747" s="62" t="s">
        <v>582</v>
      </c>
      <c r="G747" s="63"/>
      <c r="H747" s="53" t="b">
        <v>0</v>
      </c>
      <c r="I747" s="193"/>
      <c r="J747" s="193"/>
    </row>
    <row r="748" ht="57.0" hidden="1" customHeight="1" outlineLevel="1">
      <c r="A748" s="60" t="s">
        <v>1030</v>
      </c>
      <c r="B748" s="61" t="b">
        <v>0</v>
      </c>
      <c r="C748" s="61" t="b">
        <v>0</v>
      </c>
      <c r="D748" s="62" t="s">
        <v>49</v>
      </c>
      <c r="E748" s="62" t="s">
        <v>585</v>
      </c>
      <c r="F748" s="62" t="s">
        <v>582</v>
      </c>
      <c r="G748" s="63"/>
      <c r="H748" s="53" t="b">
        <v>1</v>
      </c>
      <c r="I748" s="193"/>
      <c r="J748" s="193"/>
    </row>
    <row r="749" ht="57.0" hidden="1" customHeight="1" outlineLevel="1">
      <c r="A749" s="66" t="s">
        <v>1031</v>
      </c>
      <c r="B749" s="68" t="b">
        <v>0</v>
      </c>
      <c r="C749" s="68" t="b">
        <v>0</v>
      </c>
      <c r="D749" s="69" t="s">
        <v>49</v>
      </c>
      <c r="E749" s="69" t="s">
        <v>593</v>
      </c>
      <c r="F749" s="69" t="s">
        <v>582</v>
      </c>
      <c r="G749" s="70"/>
      <c r="H749" s="71" t="b">
        <v>1</v>
      </c>
      <c r="I749" s="193"/>
      <c r="J749" s="193"/>
    </row>
    <row r="750" ht="57.0" hidden="1" customHeight="1" outlineLevel="1">
      <c r="A750" s="60" t="s">
        <v>1032</v>
      </c>
      <c r="B750" s="61" t="b">
        <v>0</v>
      </c>
      <c r="C750" s="61" t="b">
        <v>0</v>
      </c>
      <c r="D750" s="62" t="s">
        <v>49</v>
      </c>
      <c r="E750" s="62" t="s">
        <v>618</v>
      </c>
      <c r="F750" s="62" t="s">
        <v>582</v>
      </c>
      <c r="G750" s="63"/>
      <c r="H750" s="53" t="b">
        <v>1</v>
      </c>
      <c r="I750" s="193"/>
      <c r="J750" s="193"/>
    </row>
    <row r="751" ht="57.0" hidden="1" customHeight="1" outlineLevel="1">
      <c r="A751" s="66" t="s">
        <v>1033</v>
      </c>
      <c r="B751" s="68" t="b">
        <v>0</v>
      </c>
      <c r="C751" s="68" t="b">
        <v>0</v>
      </c>
      <c r="D751" s="69" t="s">
        <v>49</v>
      </c>
      <c r="E751" s="69" t="s">
        <v>618</v>
      </c>
      <c r="F751" s="69" t="s">
        <v>582</v>
      </c>
      <c r="G751" s="70"/>
      <c r="H751" s="71" t="b">
        <v>1</v>
      </c>
      <c r="I751" s="193"/>
      <c r="J751" s="193"/>
    </row>
    <row r="752" ht="57.0" hidden="1" customHeight="1" outlineLevel="1">
      <c r="A752" s="60" t="s">
        <v>1034</v>
      </c>
      <c r="B752" s="61" t="b">
        <v>0</v>
      </c>
      <c r="C752" s="61" t="b">
        <v>0</v>
      </c>
      <c r="D752" s="62" t="s">
        <v>49</v>
      </c>
      <c r="E752" s="62" t="s">
        <v>595</v>
      </c>
      <c r="F752" s="62" t="s">
        <v>582</v>
      </c>
      <c r="G752" s="63"/>
      <c r="H752" s="53" t="b">
        <v>1</v>
      </c>
      <c r="I752" s="193"/>
      <c r="J752" s="193"/>
    </row>
    <row r="753" ht="57.0" hidden="1" customHeight="1" outlineLevel="1">
      <c r="A753" s="66" t="s">
        <v>1035</v>
      </c>
      <c r="B753" s="68" t="b">
        <v>0</v>
      </c>
      <c r="C753" s="68" t="b">
        <v>0</v>
      </c>
      <c r="D753" s="69" t="s">
        <v>49</v>
      </c>
      <c r="E753" s="69" t="s">
        <v>624</v>
      </c>
      <c r="F753" s="69" t="s">
        <v>582</v>
      </c>
      <c r="G753" s="70"/>
      <c r="H753" s="71" t="b">
        <v>1</v>
      </c>
      <c r="I753" s="193"/>
      <c r="J753" s="193"/>
    </row>
    <row r="754" ht="57.0" hidden="1" customHeight="1" outlineLevel="1">
      <c r="A754" s="60" t="s">
        <v>1036</v>
      </c>
      <c r="B754" s="61" t="b">
        <v>0</v>
      </c>
      <c r="C754" s="61" t="b">
        <v>0</v>
      </c>
      <c r="D754" s="62" t="s">
        <v>49</v>
      </c>
      <c r="E754" s="62" t="s">
        <v>591</v>
      </c>
      <c r="F754" s="62" t="s">
        <v>582</v>
      </c>
      <c r="G754" s="63"/>
      <c r="H754" s="53" t="b">
        <v>1</v>
      </c>
      <c r="I754" s="193"/>
      <c r="J754" s="193"/>
    </row>
    <row r="755" ht="57.0" hidden="1" customHeight="1" outlineLevel="1">
      <c r="A755" s="66" t="s">
        <v>1037</v>
      </c>
      <c r="B755" s="68" t="b">
        <v>0</v>
      </c>
      <c r="C755" s="68" t="b">
        <v>0</v>
      </c>
      <c r="D755" s="69" t="s">
        <v>49</v>
      </c>
      <c r="E755" s="69" t="s">
        <v>585</v>
      </c>
      <c r="F755" s="69" t="s">
        <v>582</v>
      </c>
      <c r="G755" s="70"/>
      <c r="H755" s="71" t="b">
        <v>1</v>
      </c>
      <c r="I755" s="193"/>
      <c r="J755" s="193"/>
    </row>
    <row r="756" ht="57.0" hidden="1" customHeight="1" outlineLevel="1">
      <c r="A756" s="60" t="s">
        <v>1038</v>
      </c>
      <c r="B756" s="61" t="b">
        <v>0</v>
      </c>
      <c r="C756" s="61" t="b">
        <v>0</v>
      </c>
      <c r="D756" s="62" t="s">
        <v>49</v>
      </c>
      <c r="E756" s="62" t="s">
        <v>618</v>
      </c>
      <c r="F756" s="62" t="s">
        <v>582</v>
      </c>
      <c r="G756" s="63"/>
      <c r="H756" s="53" t="b">
        <v>1</v>
      </c>
      <c r="I756" s="193"/>
      <c r="J756" s="193"/>
    </row>
    <row r="757" ht="57.0" hidden="1" customHeight="1" outlineLevel="1">
      <c r="A757" s="66" t="s">
        <v>1039</v>
      </c>
      <c r="B757" s="68" t="b">
        <v>0</v>
      </c>
      <c r="C757" s="68" t="b">
        <v>0</v>
      </c>
      <c r="D757" s="69" t="s">
        <v>49</v>
      </c>
      <c r="E757" s="69" t="s">
        <v>591</v>
      </c>
      <c r="F757" s="69" t="s">
        <v>582</v>
      </c>
      <c r="G757" s="70"/>
      <c r="H757" s="71" t="b">
        <v>1</v>
      </c>
      <c r="I757" s="193"/>
      <c r="J757" s="193"/>
    </row>
    <row r="758" ht="57.0" hidden="1" customHeight="1" outlineLevel="1">
      <c r="A758" s="60" t="s">
        <v>1040</v>
      </c>
      <c r="B758" s="61" t="b">
        <v>0</v>
      </c>
      <c r="C758" s="61" t="b">
        <v>0</v>
      </c>
      <c r="D758" s="62" t="s">
        <v>49</v>
      </c>
      <c r="E758" s="62" t="s">
        <v>591</v>
      </c>
      <c r="F758" s="62" t="s">
        <v>582</v>
      </c>
      <c r="G758" s="63"/>
      <c r="H758" s="53" t="b">
        <v>1</v>
      </c>
      <c r="I758" s="193"/>
      <c r="J758" s="193"/>
    </row>
    <row r="759" ht="57.0" hidden="1" customHeight="1" outlineLevel="1">
      <c r="A759" s="66" t="s">
        <v>1041</v>
      </c>
      <c r="B759" s="68" t="b">
        <v>0</v>
      </c>
      <c r="C759" s="68" t="b">
        <v>0</v>
      </c>
      <c r="D759" s="69" t="s">
        <v>49</v>
      </c>
      <c r="E759" s="69" t="s">
        <v>591</v>
      </c>
      <c r="F759" s="69" t="s">
        <v>582</v>
      </c>
      <c r="G759" s="70"/>
      <c r="H759" s="71" t="b">
        <v>1</v>
      </c>
      <c r="I759" s="193"/>
      <c r="J759" s="193"/>
    </row>
    <row r="760" ht="57.0" hidden="1" customHeight="1" outlineLevel="1">
      <c r="A760" s="60" t="s">
        <v>1042</v>
      </c>
      <c r="B760" s="61" t="b">
        <v>0</v>
      </c>
      <c r="C760" s="61" t="b">
        <v>0</v>
      </c>
      <c r="D760" s="62" t="s">
        <v>49</v>
      </c>
      <c r="E760" s="62" t="s">
        <v>585</v>
      </c>
      <c r="F760" s="62" t="s">
        <v>582</v>
      </c>
      <c r="G760" s="63"/>
      <c r="H760" s="53" t="b">
        <v>1</v>
      </c>
      <c r="I760" s="193"/>
      <c r="J760" s="193"/>
    </row>
    <row r="761" ht="57.0" customHeight="1">
      <c r="A761" s="220" t="s">
        <v>1043</v>
      </c>
      <c r="B761" s="181" t="b">
        <v>0</v>
      </c>
      <c r="C761" s="181" t="b">
        <v>0</v>
      </c>
      <c r="D761" s="182" t="s">
        <v>49</v>
      </c>
      <c r="E761" s="182" t="s">
        <v>464</v>
      </c>
      <c r="F761" s="182" t="s">
        <v>1044</v>
      </c>
      <c r="G761" s="221" t="s">
        <v>1045</v>
      </c>
      <c r="H761" s="187" t="b">
        <v>0</v>
      </c>
      <c r="I761" s="193"/>
      <c r="J761" s="193"/>
    </row>
    <row r="762" ht="57.0" customHeight="1">
      <c r="A762" s="60" t="s">
        <v>1046</v>
      </c>
      <c r="B762" s="61" t="b">
        <v>0</v>
      </c>
      <c r="C762" s="61" t="b">
        <v>0</v>
      </c>
      <c r="D762" s="62" t="s">
        <v>401</v>
      </c>
      <c r="E762" s="62" t="s">
        <v>416</v>
      </c>
      <c r="F762" s="62" t="s">
        <v>457</v>
      </c>
      <c r="G762" s="63"/>
      <c r="H762" s="53" t="b">
        <v>0</v>
      </c>
      <c r="I762" s="193"/>
      <c r="J762" s="193"/>
    </row>
    <row r="763" ht="57.0" customHeight="1" collapsed="1">
      <c r="A763" s="180" t="s">
        <v>1047</v>
      </c>
      <c r="B763" s="181" t="b">
        <v>0</v>
      </c>
      <c r="C763" s="181" t="b">
        <v>0</v>
      </c>
      <c r="D763" s="182" t="s">
        <v>931</v>
      </c>
      <c r="E763" s="182" t="s">
        <v>1048</v>
      </c>
      <c r="F763" s="182" t="s">
        <v>502</v>
      </c>
      <c r="G763" s="183"/>
      <c r="H763" s="187" t="b">
        <v>0</v>
      </c>
      <c r="I763" s="193"/>
      <c r="J763" s="193"/>
    </row>
    <row r="764" ht="57.0" hidden="1" customHeight="1" outlineLevel="1">
      <c r="A764" s="60" t="s">
        <v>1049</v>
      </c>
      <c r="B764" s="61" t="b">
        <v>0</v>
      </c>
      <c r="C764" s="61" t="b">
        <v>0</v>
      </c>
      <c r="D764" s="62" t="s">
        <v>49</v>
      </c>
      <c r="E764" s="62" t="s">
        <v>430</v>
      </c>
      <c r="F764" s="62" t="s">
        <v>502</v>
      </c>
      <c r="G764" s="63"/>
      <c r="H764" s="53" t="b">
        <v>1</v>
      </c>
      <c r="I764" s="193"/>
      <c r="J764" s="193"/>
    </row>
    <row r="765" ht="57.0" hidden="1" customHeight="1" outlineLevel="1">
      <c r="A765" s="66" t="s">
        <v>1050</v>
      </c>
      <c r="B765" s="68" t="b">
        <v>0</v>
      </c>
      <c r="C765" s="68" t="b">
        <v>0</v>
      </c>
      <c r="D765" s="69" t="s">
        <v>49</v>
      </c>
      <c r="E765" s="69" t="s">
        <v>539</v>
      </c>
      <c r="F765" s="69" t="s">
        <v>502</v>
      </c>
      <c r="G765" s="70"/>
      <c r="H765" s="71" t="b">
        <v>1</v>
      </c>
      <c r="I765" s="193"/>
      <c r="J765" s="193"/>
    </row>
    <row r="766" ht="57.0" hidden="1" customHeight="1" outlineLevel="1">
      <c r="A766" s="60" t="s">
        <v>1051</v>
      </c>
      <c r="B766" s="61" t="b">
        <v>0</v>
      </c>
      <c r="C766" s="61" t="b">
        <v>0</v>
      </c>
      <c r="D766" s="62" t="s">
        <v>49</v>
      </c>
      <c r="E766" s="62" t="s">
        <v>430</v>
      </c>
      <c r="F766" s="62" t="s">
        <v>502</v>
      </c>
      <c r="G766" s="63"/>
      <c r="H766" s="53" t="b">
        <v>1</v>
      </c>
      <c r="I766" s="193"/>
      <c r="J766" s="193"/>
    </row>
    <row r="767" ht="57.0" hidden="1" customHeight="1" outlineLevel="1">
      <c r="A767" s="66" t="s">
        <v>1052</v>
      </c>
      <c r="B767" s="68" t="b">
        <v>0</v>
      </c>
      <c r="C767" s="68" t="b">
        <v>0</v>
      </c>
      <c r="D767" s="69" t="s">
        <v>49</v>
      </c>
      <c r="E767" s="69" t="s">
        <v>539</v>
      </c>
      <c r="F767" s="69" t="s">
        <v>502</v>
      </c>
      <c r="G767" s="70"/>
      <c r="H767" s="71" t="b">
        <v>1</v>
      </c>
      <c r="I767" s="193"/>
      <c r="J767" s="193"/>
    </row>
    <row r="768" ht="57.0" hidden="1" customHeight="1" outlineLevel="1">
      <c r="A768" s="60" t="s">
        <v>1053</v>
      </c>
      <c r="B768" s="61" t="b">
        <v>0</v>
      </c>
      <c r="C768" s="61" t="b">
        <v>0</v>
      </c>
      <c r="D768" s="62" t="s">
        <v>49</v>
      </c>
      <c r="E768" s="62" t="s">
        <v>551</v>
      </c>
      <c r="F768" s="62" t="s">
        <v>502</v>
      </c>
      <c r="G768" s="63"/>
      <c r="H768" s="53" t="b">
        <v>1</v>
      </c>
      <c r="I768" s="193"/>
      <c r="J768" s="193"/>
    </row>
    <row r="769" ht="57.0" hidden="1" customHeight="1" outlineLevel="1">
      <c r="A769" s="66" t="s">
        <v>1054</v>
      </c>
      <c r="B769" s="68" t="b">
        <v>0</v>
      </c>
      <c r="C769" s="68" t="b">
        <v>0</v>
      </c>
      <c r="D769" s="69" t="s">
        <v>49</v>
      </c>
      <c r="E769" s="69" t="s">
        <v>662</v>
      </c>
      <c r="F769" s="69" t="s">
        <v>502</v>
      </c>
      <c r="G769" s="70"/>
      <c r="H769" s="71" t="b">
        <v>1</v>
      </c>
      <c r="I769" s="193"/>
      <c r="J769" s="193"/>
    </row>
    <row r="770" ht="57.0" hidden="1" customHeight="1" outlineLevel="1">
      <c r="A770" s="60" t="s">
        <v>1055</v>
      </c>
      <c r="B770" s="61" t="b">
        <v>0</v>
      </c>
      <c r="C770" s="61" t="b">
        <v>0</v>
      </c>
      <c r="D770" s="62" t="s">
        <v>49</v>
      </c>
      <c r="E770" s="62" t="s">
        <v>551</v>
      </c>
      <c r="F770" s="62" t="s">
        <v>502</v>
      </c>
      <c r="G770" s="63"/>
      <c r="H770" s="53" t="b">
        <v>1</v>
      </c>
      <c r="I770" s="193"/>
      <c r="J770" s="193"/>
    </row>
    <row r="771" ht="57.0" hidden="1" customHeight="1" outlineLevel="1">
      <c r="A771" s="66" t="s">
        <v>1056</v>
      </c>
      <c r="B771" s="68" t="b">
        <v>0</v>
      </c>
      <c r="C771" s="68" t="b">
        <v>0</v>
      </c>
      <c r="D771" s="69" t="s">
        <v>49</v>
      </c>
      <c r="E771" s="69" t="s">
        <v>551</v>
      </c>
      <c r="F771" s="69" t="s">
        <v>502</v>
      </c>
      <c r="G771" s="70"/>
      <c r="H771" s="71" t="b">
        <v>1</v>
      </c>
      <c r="I771" s="193"/>
      <c r="J771" s="193"/>
    </row>
    <row r="772" ht="57.0" hidden="1" customHeight="1" outlineLevel="1">
      <c r="A772" s="60" t="s">
        <v>1057</v>
      </c>
      <c r="B772" s="61" t="b">
        <v>0</v>
      </c>
      <c r="C772" s="61" t="b">
        <v>0</v>
      </c>
      <c r="D772" s="62" t="s">
        <v>49</v>
      </c>
      <c r="E772" s="62" t="s">
        <v>430</v>
      </c>
      <c r="F772" s="62" t="s">
        <v>502</v>
      </c>
      <c r="G772" s="63"/>
      <c r="H772" s="53" t="b">
        <v>1</v>
      </c>
      <c r="I772" s="193"/>
      <c r="J772" s="193"/>
    </row>
    <row r="773" ht="57.0" hidden="1" customHeight="1" outlineLevel="1">
      <c r="A773" s="66" t="s">
        <v>1058</v>
      </c>
      <c r="B773" s="68" t="b">
        <v>0</v>
      </c>
      <c r="C773" s="68" t="b">
        <v>0</v>
      </c>
      <c r="D773" s="69" t="s">
        <v>401</v>
      </c>
      <c r="E773" s="69" t="s">
        <v>539</v>
      </c>
      <c r="F773" s="69" t="s">
        <v>502</v>
      </c>
      <c r="G773" s="70"/>
      <c r="H773" s="71" t="b">
        <v>1</v>
      </c>
      <c r="I773" s="193"/>
      <c r="J773" s="193"/>
    </row>
    <row r="774" ht="57.0" customHeight="1">
      <c r="A774" s="60" t="s">
        <v>1059</v>
      </c>
      <c r="B774" s="61" t="b">
        <v>0</v>
      </c>
      <c r="C774" s="61" t="b">
        <v>0</v>
      </c>
      <c r="D774" s="62" t="s">
        <v>49</v>
      </c>
      <c r="E774" s="62" t="s">
        <v>1060</v>
      </c>
      <c r="F774" s="62" t="s">
        <v>1061</v>
      </c>
      <c r="G774" s="63"/>
      <c r="H774" s="53" t="b">
        <v>0</v>
      </c>
      <c r="I774" s="193"/>
      <c r="J774" s="193"/>
    </row>
    <row r="775" ht="57.0" customHeight="1" collapsed="1">
      <c r="A775" s="180" t="s">
        <v>1062</v>
      </c>
      <c r="B775" s="181" t="b">
        <v>0</v>
      </c>
      <c r="C775" s="181" t="b">
        <v>0</v>
      </c>
      <c r="D775" s="182" t="s">
        <v>49</v>
      </c>
      <c r="E775" s="182" t="s">
        <v>1063</v>
      </c>
      <c r="F775" s="182" t="s">
        <v>502</v>
      </c>
      <c r="G775" s="222"/>
      <c r="H775" s="187" t="b">
        <v>0</v>
      </c>
      <c r="I775" s="193"/>
      <c r="J775" s="193"/>
    </row>
    <row r="776" ht="57.0" hidden="1" customHeight="1" outlineLevel="1">
      <c r="A776" s="60" t="s">
        <v>1064</v>
      </c>
      <c r="B776" s="61" t="b">
        <v>0</v>
      </c>
      <c r="C776" s="61" t="b">
        <v>0</v>
      </c>
      <c r="D776" s="62" t="s">
        <v>49</v>
      </c>
      <c r="E776" s="62" t="s">
        <v>539</v>
      </c>
      <c r="F776" s="62" t="s">
        <v>502</v>
      </c>
      <c r="G776" s="63"/>
      <c r="H776" s="53" t="b">
        <v>1</v>
      </c>
      <c r="I776" s="193"/>
      <c r="J776" s="193"/>
    </row>
    <row r="777" ht="57.0" hidden="1" customHeight="1" outlineLevel="1">
      <c r="A777" s="66" t="s">
        <v>1065</v>
      </c>
      <c r="B777" s="68" t="b">
        <v>0</v>
      </c>
      <c r="C777" s="68" t="b">
        <v>0</v>
      </c>
      <c r="D777" s="69" t="s">
        <v>49</v>
      </c>
      <c r="E777" s="69" t="s">
        <v>539</v>
      </c>
      <c r="F777" s="69" t="s">
        <v>502</v>
      </c>
      <c r="G777" s="70"/>
      <c r="H777" s="71" t="b">
        <v>1</v>
      </c>
      <c r="I777" s="193"/>
      <c r="J777" s="193"/>
    </row>
    <row r="778" ht="57.0" hidden="1" customHeight="1" outlineLevel="1">
      <c r="A778" s="60" t="s">
        <v>1066</v>
      </c>
      <c r="B778" s="61" t="b">
        <v>0</v>
      </c>
      <c r="C778" s="61" t="b">
        <v>0</v>
      </c>
      <c r="D778" s="62" t="s">
        <v>49</v>
      </c>
      <c r="E778" s="62" t="s">
        <v>539</v>
      </c>
      <c r="F778" s="62" t="s">
        <v>502</v>
      </c>
      <c r="G778" s="63"/>
      <c r="H778" s="53" t="b">
        <v>1</v>
      </c>
      <c r="I778" s="193"/>
      <c r="J778" s="193"/>
    </row>
    <row r="779" ht="57.0" hidden="1" customHeight="1" outlineLevel="1">
      <c r="A779" s="66" t="s">
        <v>1067</v>
      </c>
      <c r="B779" s="68" t="b">
        <v>0</v>
      </c>
      <c r="C779" s="68" t="b">
        <v>0</v>
      </c>
      <c r="D779" s="69" t="s">
        <v>49</v>
      </c>
      <c r="E779" s="69" t="s">
        <v>539</v>
      </c>
      <c r="F779" s="69" t="s">
        <v>502</v>
      </c>
      <c r="G779" s="70"/>
      <c r="H779" s="71" t="b">
        <v>1</v>
      </c>
      <c r="I779" s="193"/>
      <c r="J779" s="193"/>
    </row>
    <row r="780" ht="57.0" hidden="1" customHeight="1" outlineLevel="1">
      <c r="A780" s="60" t="s">
        <v>1068</v>
      </c>
      <c r="B780" s="61" t="b">
        <v>0</v>
      </c>
      <c r="C780" s="61" t="b">
        <v>0</v>
      </c>
      <c r="D780" s="62" t="s">
        <v>49</v>
      </c>
      <c r="E780" s="62" t="s">
        <v>539</v>
      </c>
      <c r="F780" s="62" t="s">
        <v>502</v>
      </c>
      <c r="G780" s="63"/>
      <c r="H780" s="53" t="b">
        <v>1</v>
      </c>
      <c r="I780" s="193"/>
      <c r="J780" s="193"/>
    </row>
    <row r="781" ht="57.0" hidden="1" customHeight="1" outlineLevel="1">
      <c r="A781" s="66" t="s">
        <v>1069</v>
      </c>
      <c r="B781" s="68" t="b">
        <v>0</v>
      </c>
      <c r="C781" s="68" t="b">
        <v>0</v>
      </c>
      <c r="D781" s="69" t="s">
        <v>49</v>
      </c>
      <c r="E781" s="69" t="s">
        <v>539</v>
      </c>
      <c r="F781" s="69" t="s">
        <v>502</v>
      </c>
      <c r="G781" s="70"/>
      <c r="H781" s="71" t="b">
        <v>1</v>
      </c>
      <c r="I781" s="193"/>
      <c r="J781" s="193"/>
    </row>
    <row r="782" ht="57.0" hidden="1" customHeight="1" outlineLevel="1">
      <c r="A782" s="60" t="s">
        <v>1070</v>
      </c>
      <c r="B782" s="61" t="b">
        <v>0</v>
      </c>
      <c r="C782" s="61" t="b">
        <v>0</v>
      </c>
      <c r="D782" s="62" t="s">
        <v>49</v>
      </c>
      <c r="E782" s="62" t="s">
        <v>539</v>
      </c>
      <c r="F782" s="62" t="s">
        <v>502</v>
      </c>
      <c r="G782" s="63"/>
      <c r="H782" s="53" t="b">
        <v>1</v>
      </c>
      <c r="I782" s="193"/>
      <c r="J782" s="193"/>
    </row>
    <row r="783" ht="57.0" hidden="1" customHeight="1" outlineLevel="1">
      <c r="A783" s="66" t="s">
        <v>1071</v>
      </c>
      <c r="B783" s="68" t="b">
        <v>0</v>
      </c>
      <c r="C783" s="68" t="b">
        <v>0</v>
      </c>
      <c r="D783" s="69" t="s">
        <v>49</v>
      </c>
      <c r="E783" s="69" t="s">
        <v>539</v>
      </c>
      <c r="F783" s="69" t="s">
        <v>502</v>
      </c>
      <c r="G783" s="70"/>
      <c r="H783" s="71" t="b">
        <v>1</v>
      </c>
      <c r="I783" s="193"/>
      <c r="J783" s="193"/>
    </row>
    <row r="784" ht="57.0" hidden="1" customHeight="1" outlineLevel="1">
      <c r="A784" s="60" t="s">
        <v>1072</v>
      </c>
      <c r="B784" s="61" t="b">
        <v>0</v>
      </c>
      <c r="C784" s="61" t="b">
        <v>0</v>
      </c>
      <c r="D784" s="62" t="s">
        <v>49</v>
      </c>
      <c r="E784" s="62" t="s">
        <v>539</v>
      </c>
      <c r="F784" s="62" t="s">
        <v>502</v>
      </c>
      <c r="G784" s="63"/>
      <c r="H784" s="53" t="b">
        <v>1</v>
      </c>
      <c r="I784" s="193"/>
      <c r="J784" s="193"/>
    </row>
    <row r="785" ht="57.0" hidden="1" customHeight="1" outlineLevel="1">
      <c r="A785" s="66" t="s">
        <v>1073</v>
      </c>
      <c r="B785" s="68" t="b">
        <v>0</v>
      </c>
      <c r="C785" s="68" t="b">
        <v>0</v>
      </c>
      <c r="D785" s="69" t="s">
        <v>49</v>
      </c>
      <c r="E785" s="69" t="s">
        <v>539</v>
      </c>
      <c r="F785" s="69" t="s">
        <v>502</v>
      </c>
      <c r="G785" s="70"/>
      <c r="H785" s="71" t="b">
        <v>1</v>
      </c>
      <c r="I785" s="193"/>
      <c r="J785" s="193"/>
    </row>
    <row r="786" ht="57.0" hidden="1" customHeight="1" outlineLevel="1">
      <c r="A786" s="60" t="s">
        <v>1074</v>
      </c>
      <c r="B786" s="61" t="b">
        <v>0</v>
      </c>
      <c r="C786" s="61" t="b">
        <v>0</v>
      </c>
      <c r="D786" s="62" t="s">
        <v>49</v>
      </c>
      <c r="E786" s="62" t="s">
        <v>539</v>
      </c>
      <c r="F786" s="62" t="s">
        <v>502</v>
      </c>
      <c r="G786" s="63"/>
      <c r="H786" s="53" t="b">
        <v>1</v>
      </c>
      <c r="I786" s="193"/>
      <c r="J786" s="193"/>
    </row>
    <row r="787" ht="57.0" hidden="1" customHeight="1" outlineLevel="1">
      <c r="A787" s="66" t="s">
        <v>1075</v>
      </c>
      <c r="B787" s="68" t="b">
        <v>0</v>
      </c>
      <c r="C787" s="68" t="b">
        <v>0</v>
      </c>
      <c r="D787" s="69" t="s">
        <v>49</v>
      </c>
      <c r="E787" s="69" t="s">
        <v>539</v>
      </c>
      <c r="F787" s="69" t="s">
        <v>502</v>
      </c>
      <c r="G787" s="70"/>
      <c r="H787" s="71" t="b">
        <v>1</v>
      </c>
      <c r="I787" s="193"/>
      <c r="J787" s="193"/>
    </row>
    <row r="788" ht="57.0" hidden="1" customHeight="1" outlineLevel="1">
      <c r="A788" s="60" t="s">
        <v>1076</v>
      </c>
      <c r="B788" s="61" t="b">
        <v>0</v>
      </c>
      <c r="C788" s="61" t="b">
        <v>0</v>
      </c>
      <c r="D788" s="62" t="s">
        <v>49</v>
      </c>
      <c r="E788" s="62" t="s">
        <v>539</v>
      </c>
      <c r="F788" s="62" t="s">
        <v>502</v>
      </c>
      <c r="G788" s="63"/>
      <c r="H788" s="53" t="b">
        <v>1</v>
      </c>
      <c r="I788" s="193"/>
      <c r="J788" s="193"/>
    </row>
    <row r="789" ht="57.0" customHeight="1" collapsed="1">
      <c r="A789" s="60" t="s">
        <v>1077</v>
      </c>
      <c r="B789" s="61" t="b">
        <v>0</v>
      </c>
      <c r="C789" s="61" t="b">
        <v>0</v>
      </c>
      <c r="D789" s="62" t="s">
        <v>49</v>
      </c>
      <c r="E789" s="62" t="s">
        <v>895</v>
      </c>
      <c r="F789" s="62" t="s">
        <v>582</v>
      </c>
      <c r="G789" s="63"/>
      <c r="H789" s="53" t="b">
        <v>0</v>
      </c>
      <c r="I789" s="193"/>
      <c r="J789" s="193"/>
    </row>
    <row r="790" ht="57.0" hidden="1" customHeight="1" outlineLevel="1">
      <c r="A790" s="60" t="s">
        <v>1078</v>
      </c>
      <c r="B790" s="61" t="b">
        <v>0</v>
      </c>
      <c r="C790" s="61" t="b">
        <v>0</v>
      </c>
      <c r="D790" s="62" t="s">
        <v>49</v>
      </c>
      <c r="E790" s="62" t="s">
        <v>624</v>
      </c>
      <c r="F790" s="62" t="s">
        <v>582</v>
      </c>
      <c r="G790" s="63"/>
      <c r="H790" s="155" t="b">
        <v>1</v>
      </c>
      <c r="I790" s="161"/>
      <c r="J790" s="161"/>
    </row>
    <row r="791" ht="57.0" hidden="1" customHeight="1" outlineLevel="1">
      <c r="A791" s="66" t="s">
        <v>1079</v>
      </c>
      <c r="B791" s="68" t="b">
        <v>0</v>
      </c>
      <c r="C791" s="68" t="b">
        <v>0</v>
      </c>
      <c r="D791" s="69" t="s">
        <v>49</v>
      </c>
      <c r="E791" s="69" t="s">
        <v>678</v>
      </c>
      <c r="F791" s="69" t="s">
        <v>582</v>
      </c>
      <c r="G791" s="70"/>
      <c r="H791" s="223" t="b">
        <v>1</v>
      </c>
      <c r="I791" s="161"/>
      <c r="J791" s="161"/>
    </row>
    <row r="792" ht="57.0" hidden="1" customHeight="1" outlineLevel="1">
      <c r="A792" s="60" t="s">
        <v>1080</v>
      </c>
      <c r="B792" s="61" t="b">
        <v>0</v>
      </c>
      <c r="C792" s="61" t="b">
        <v>0</v>
      </c>
      <c r="D792" s="62" t="s">
        <v>49</v>
      </c>
      <c r="E792" s="62" t="s">
        <v>593</v>
      </c>
      <c r="F792" s="62" t="s">
        <v>582</v>
      </c>
      <c r="G792" s="63"/>
      <c r="H792" s="155" t="b">
        <v>1</v>
      </c>
      <c r="I792" s="161"/>
      <c r="J792" s="161"/>
    </row>
    <row r="793" ht="57.0" hidden="1" customHeight="1" outlineLevel="1">
      <c r="A793" s="66" t="s">
        <v>1081</v>
      </c>
      <c r="B793" s="68" t="b">
        <v>0</v>
      </c>
      <c r="C793" s="68" t="b">
        <v>0</v>
      </c>
      <c r="D793" s="69" t="s">
        <v>49</v>
      </c>
      <c r="E793" s="69" t="s">
        <v>593</v>
      </c>
      <c r="F793" s="69" t="s">
        <v>582</v>
      </c>
      <c r="G793" s="70"/>
      <c r="H793" s="223" t="b">
        <v>1</v>
      </c>
      <c r="I793" s="161"/>
      <c r="J793" s="161"/>
    </row>
    <row r="794" ht="57.0" hidden="1" customHeight="1" outlineLevel="1">
      <c r="A794" s="60" t="s">
        <v>1082</v>
      </c>
      <c r="B794" s="61" t="b">
        <v>0</v>
      </c>
      <c r="C794" s="61" t="b">
        <v>0</v>
      </c>
      <c r="D794" s="62" t="s">
        <v>49</v>
      </c>
      <c r="E794" s="62" t="s">
        <v>593</v>
      </c>
      <c r="F794" s="62" t="s">
        <v>582</v>
      </c>
      <c r="G794" s="63"/>
      <c r="H794" s="155" t="b">
        <v>1</v>
      </c>
      <c r="I794" s="161"/>
      <c r="J794" s="161"/>
    </row>
    <row r="795" ht="57.0" hidden="1" customHeight="1" outlineLevel="1">
      <c r="A795" s="66" t="s">
        <v>1083</v>
      </c>
      <c r="B795" s="68" t="b">
        <v>0</v>
      </c>
      <c r="C795" s="68" t="b">
        <v>0</v>
      </c>
      <c r="D795" s="69" t="s">
        <v>49</v>
      </c>
      <c r="E795" s="69" t="s">
        <v>628</v>
      </c>
      <c r="F795" s="69" t="s">
        <v>582</v>
      </c>
      <c r="G795" s="70"/>
      <c r="H795" s="223" t="b">
        <v>1</v>
      </c>
      <c r="I795" s="161"/>
      <c r="J795" s="161"/>
    </row>
    <row r="796" ht="57.0" hidden="1" customHeight="1" outlineLevel="1">
      <c r="A796" s="60" t="s">
        <v>1084</v>
      </c>
      <c r="B796" s="61" t="b">
        <v>0</v>
      </c>
      <c r="C796" s="61" t="b">
        <v>0</v>
      </c>
      <c r="D796" s="62" t="s">
        <v>49</v>
      </c>
      <c r="E796" s="62" t="s">
        <v>585</v>
      </c>
      <c r="F796" s="62" t="s">
        <v>582</v>
      </c>
      <c r="G796" s="63"/>
      <c r="H796" s="155" t="b">
        <v>1</v>
      </c>
      <c r="I796" s="161"/>
      <c r="J796" s="161"/>
    </row>
    <row r="797" ht="57.0" hidden="1" customHeight="1" outlineLevel="1">
      <c r="A797" s="66" t="s">
        <v>1085</v>
      </c>
      <c r="B797" s="68" t="b">
        <v>0</v>
      </c>
      <c r="C797" s="68" t="b">
        <v>0</v>
      </c>
      <c r="D797" s="69" t="s">
        <v>49</v>
      </c>
      <c r="E797" s="69" t="s">
        <v>620</v>
      </c>
      <c r="F797" s="69" t="s">
        <v>582</v>
      </c>
      <c r="G797" s="70"/>
      <c r="H797" s="223" t="b">
        <v>1</v>
      </c>
      <c r="I797" s="161"/>
      <c r="J797" s="161"/>
    </row>
    <row r="798" ht="57.0" hidden="1" customHeight="1" outlineLevel="1">
      <c r="A798" s="60" t="s">
        <v>1086</v>
      </c>
      <c r="B798" s="61" t="b">
        <v>0</v>
      </c>
      <c r="C798" s="61" t="b">
        <v>0</v>
      </c>
      <c r="D798" s="62" t="s">
        <v>49</v>
      </c>
      <c r="E798" s="62" t="s">
        <v>585</v>
      </c>
      <c r="F798" s="62" t="s">
        <v>582</v>
      </c>
      <c r="G798" s="63"/>
      <c r="H798" s="155" t="b">
        <v>1</v>
      </c>
      <c r="I798" s="161"/>
      <c r="J798" s="161"/>
    </row>
    <row r="799" ht="57.0" hidden="1" customHeight="1" outlineLevel="1">
      <c r="A799" s="66" t="s">
        <v>1087</v>
      </c>
      <c r="B799" s="68" t="b">
        <v>0</v>
      </c>
      <c r="C799" s="68" t="b">
        <v>0</v>
      </c>
      <c r="D799" s="69" t="s">
        <v>49</v>
      </c>
      <c r="E799" s="69" t="s">
        <v>678</v>
      </c>
      <c r="F799" s="69" t="s">
        <v>582</v>
      </c>
      <c r="G799" s="70"/>
      <c r="H799" s="223" t="b">
        <v>1</v>
      </c>
      <c r="I799" s="161"/>
      <c r="J799" s="161"/>
    </row>
    <row r="800" ht="57.0" hidden="1" customHeight="1" outlineLevel="1">
      <c r="A800" s="60" t="s">
        <v>1088</v>
      </c>
      <c r="B800" s="61" t="b">
        <v>0</v>
      </c>
      <c r="C800" s="61" t="b">
        <v>0</v>
      </c>
      <c r="D800" s="62" t="s">
        <v>49</v>
      </c>
      <c r="E800" s="62" t="s">
        <v>618</v>
      </c>
      <c r="F800" s="62" t="s">
        <v>582</v>
      </c>
      <c r="G800" s="63"/>
      <c r="H800" s="155" t="b">
        <v>1</v>
      </c>
      <c r="I800" s="161"/>
      <c r="J800" s="161"/>
    </row>
    <row r="801" ht="57.0" hidden="1" customHeight="1" outlineLevel="1">
      <c r="A801" s="66" t="s">
        <v>1089</v>
      </c>
      <c r="B801" s="68" t="b">
        <v>0</v>
      </c>
      <c r="C801" s="68" t="b">
        <v>0</v>
      </c>
      <c r="D801" s="69" t="s">
        <v>49</v>
      </c>
      <c r="E801" s="69" t="s">
        <v>618</v>
      </c>
      <c r="F801" s="69" t="s">
        <v>582</v>
      </c>
      <c r="G801" s="70"/>
      <c r="H801" s="223" t="b">
        <v>1</v>
      </c>
      <c r="I801" s="161"/>
      <c r="J801" s="161"/>
    </row>
    <row r="802" ht="57.0" hidden="1" customHeight="1" outlineLevel="1">
      <c r="A802" s="60" t="s">
        <v>1090</v>
      </c>
      <c r="B802" s="61" t="b">
        <v>0</v>
      </c>
      <c r="C802" s="61" t="b">
        <v>0</v>
      </c>
      <c r="D802" s="62" t="s">
        <v>49</v>
      </c>
      <c r="E802" s="62" t="s">
        <v>588</v>
      </c>
      <c r="F802" s="62" t="s">
        <v>582</v>
      </c>
      <c r="G802" s="63"/>
      <c r="H802" s="155" t="b">
        <v>1</v>
      </c>
      <c r="I802" s="161"/>
      <c r="J802" s="161"/>
    </row>
    <row r="803" ht="57.0" customHeight="1" collapsed="1">
      <c r="A803" s="180" t="s">
        <v>1091</v>
      </c>
      <c r="B803" s="181" t="b">
        <v>0</v>
      </c>
      <c r="C803" s="181" t="b">
        <v>0</v>
      </c>
      <c r="D803" s="182" t="s">
        <v>49</v>
      </c>
      <c r="E803" s="182" t="s">
        <v>1092</v>
      </c>
      <c r="F803" s="182" t="s">
        <v>762</v>
      </c>
      <c r="G803" s="183"/>
      <c r="H803" s="224" t="b">
        <v>0</v>
      </c>
      <c r="I803" s="160"/>
      <c r="J803" s="161"/>
    </row>
    <row r="804" ht="57.0" hidden="1" customHeight="1" outlineLevel="1">
      <c r="A804" s="60" t="s">
        <v>1093</v>
      </c>
      <c r="B804" s="61" t="b">
        <v>0</v>
      </c>
      <c r="C804" s="61" t="b">
        <v>0</v>
      </c>
      <c r="D804" s="62" t="s">
        <v>49</v>
      </c>
      <c r="E804" s="62" t="s">
        <v>585</v>
      </c>
      <c r="F804" s="62" t="s">
        <v>762</v>
      </c>
      <c r="G804" s="63"/>
      <c r="H804" s="159" t="b">
        <v>1</v>
      </c>
      <c r="I804" s="160"/>
      <c r="J804" s="161"/>
    </row>
    <row r="805" ht="57.0" hidden="1" customHeight="1" outlineLevel="1">
      <c r="A805" s="66" t="s">
        <v>1094</v>
      </c>
      <c r="B805" s="68" t="b">
        <v>0</v>
      </c>
      <c r="C805" s="68" t="b">
        <v>0</v>
      </c>
      <c r="D805" s="69" t="s">
        <v>49</v>
      </c>
      <c r="E805" s="69" t="s">
        <v>593</v>
      </c>
      <c r="F805" s="69" t="s">
        <v>762</v>
      </c>
      <c r="G805" s="70"/>
      <c r="H805" s="225" t="b">
        <v>1</v>
      </c>
      <c r="I805" s="160"/>
      <c r="J805" s="161"/>
    </row>
    <row r="806" ht="57.0" hidden="1" customHeight="1" outlineLevel="1">
      <c r="A806" s="60" t="s">
        <v>1095</v>
      </c>
      <c r="B806" s="61" t="b">
        <v>0</v>
      </c>
      <c r="C806" s="61" t="b">
        <v>0</v>
      </c>
      <c r="D806" s="62" t="s">
        <v>49</v>
      </c>
      <c r="E806" s="62" t="s">
        <v>595</v>
      </c>
      <c r="F806" s="62" t="s">
        <v>762</v>
      </c>
      <c r="G806" s="63"/>
      <c r="H806" s="159" t="b">
        <v>1</v>
      </c>
      <c r="I806" s="160"/>
      <c r="J806" s="161"/>
    </row>
    <row r="807" ht="57.0" hidden="1" customHeight="1" outlineLevel="1">
      <c r="A807" s="66" t="s">
        <v>1096</v>
      </c>
      <c r="B807" s="68" t="b">
        <v>0</v>
      </c>
      <c r="C807" s="68" t="b">
        <v>0</v>
      </c>
      <c r="D807" s="69" t="s">
        <v>49</v>
      </c>
      <c r="E807" s="69" t="s">
        <v>595</v>
      </c>
      <c r="F807" s="69" t="s">
        <v>762</v>
      </c>
      <c r="G807" s="70"/>
      <c r="H807" s="225" t="b">
        <v>1</v>
      </c>
      <c r="I807" s="160"/>
      <c r="J807" s="161"/>
    </row>
    <row r="808" ht="57.0" hidden="1" customHeight="1" outlineLevel="1">
      <c r="A808" s="60" t="s">
        <v>1097</v>
      </c>
      <c r="B808" s="61" t="b">
        <v>0</v>
      </c>
      <c r="C808" s="61" t="b">
        <v>0</v>
      </c>
      <c r="D808" s="62" t="s">
        <v>49</v>
      </c>
      <c r="E808" s="62" t="s">
        <v>678</v>
      </c>
      <c r="F808" s="62" t="s">
        <v>762</v>
      </c>
      <c r="G808" s="63"/>
      <c r="H808" s="159" t="b">
        <v>1</v>
      </c>
      <c r="I808" s="160"/>
      <c r="J808" s="161"/>
    </row>
    <row r="809" ht="57.0" hidden="1" customHeight="1" outlineLevel="1">
      <c r="A809" s="66" t="s">
        <v>1098</v>
      </c>
      <c r="B809" s="68" t="b">
        <v>0</v>
      </c>
      <c r="C809" s="68" t="b">
        <v>0</v>
      </c>
      <c r="D809" s="69" t="s">
        <v>49</v>
      </c>
      <c r="E809" s="69" t="s">
        <v>593</v>
      </c>
      <c r="F809" s="69" t="s">
        <v>762</v>
      </c>
      <c r="G809" s="70"/>
      <c r="H809" s="225" t="b">
        <v>1</v>
      </c>
      <c r="I809" s="160"/>
      <c r="J809" s="161"/>
    </row>
    <row r="810" ht="57.0" hidden="1" customHeight="1" outlineLevel="1">
      <c r="A810" s="60" t="s">
        <v>1099</v>
      </c>
      <c r="B810" s="61" t="b">
        <v>0</v>
      </c>
      <c r="C810" s="61" t="b">
        <v>0</v>
      </c>
      <c r="D810" s="62" t="s">
        <v>49</v>
      </c>
      <c r="E810" s="62" t="s">
        <v>628</v>
      </c>
      <c r="F810" s="62" t="s">
        <v>762</v>
      </c>
      <c r="G810" s="63"/>
      <c r="H810" s="159" t="b">
        <v>1</v>
      </c>
      <c r="I810" s="160"/>
      <c r="J810" s="161"/>
    </row>
    <row r="811" ht="57.0" hidden="1" customHeight="1" outlineLevel="1">
      <c r="A811" s="66" t="s">
        <v>1100</v>
      </c>
      <c r="B811" s="68" t="b">
        <v>0</v>
      </c>
      <c r="C811" s="68" t="b">
        <v>0</v>
      </c>
      <c r="D811" s="69" t="s">
        <v>49</v>
      </c>
      <c r="E811" s="69" t="s">
        <v>585</v>
      </c>
      <c r="F811" s="69" t="s">
        <v>762</v>
      </c>
      <c r="G811" s="70"/>
      <c r="H811" s="225" t="b">
        <v>1</v>
      </c>
      <c r="I811" s="160"/>
      <c r="J811" s="161"/>
    </row>
    <row r="812" ht="57.0" customHeight="1">
      <c r="A812" s="60" t="s">
        <v>1101</v>
      </c>
      <c r="B812" s="61" t="b">
        <v>0</v>
      </c>
      <c r="C812" s="61" t="b">
        <v>0</v>
      </c>
      <c r="D812" s="62" t="s">
        <v>49</v>
      </c>
      <c r="E812" s="62" t="s">
        <v>414</v>
      </c>
      <c r="F812" s="62" t="s">
        <v>674</v>
      </c>
      <c r="G812" s="63" t="s">
        <v>1102</v>
      </c>
      <c r="H812" s="226" t="b">
        <v>0</v>
      </c>
      <c r="I812" s="160"/>
      <c r="J812" s="161"/>
    </row>
    <row r="813" ht="57.0" customHeight="1">
      <c r="A813" s="180" t="s">
        <v>1103</v>
      </c>
      <c r="B813" s="181" t="b">
        <v>0</v>
      </c>
      <c r="C813" s="181" t="b">
        <v>0</v>
      </c>
      <c r="D813" s="182" t="s">
        <v>425</v>
      </c>
      <c r="E813" s="182" t="s">
        <v>1104</v>
      </c>
      <c r="F813" s="182" t="s">
        <v>457</v>
      </c>
      <c r="G813" s="183"/>
      <c r="H813" s="227" t="b">
        <v>0</v>
      </c>
      <c r="I813" s="160"/>
      <c r="J813" s="161"/>
    </row>
    <row r="814" ht="57.0" customHeight="1">
      <c r="A814" s="60" t="s">
        <v>1105</v>
      </c>
      <c r="B814" s="61" t="b">
        <v>0</v>
      </c>
      <c r="C814" s="61" t="b">
        <v>0</v>
      </c>
      <c r="D814" s="62" t="s">
        <v>49</v>
      </c>
      <c r="E814" s="62" t="s">
        <v>464</v>
      </c>
      <c r="F814" s="62" t="s">
        <v>457</v>
      </c>
      <c r="G814" s="217" t="s">
        <v>1106</v>
      </c>
      <c r="H814" s="228" t="b">
        <v>0</v>
      </c>
      <c r="I814" s="160"/>
      <c r="J814" s="161"/>
    </row>
    <row r="815" ht="57.0" customHeight="1" collapsed="1">
      <c r="A815" s="180" t="s">
        <v>1107</v>
      </c>
      <c r="B815" s="181" t="b">
        <v>0</v>
      </c>
      <c r="C815" s="181" t="b">
        <v>0</v>
      </c>
      <c r="D815" s="182" t="s">
        <v>931</v>
      </c>
      <c r="E815" s="182" t="s">
        <v>1108</v>
      </c>
      <c r="F815" s="182" t="s">
        <v>502</v>
      </c>
      <c r="G815" s="183"/>
      <c r="H815" s="227" t="b">
        <v>0</v>
      </c>
      <c r="I815" s="160"/>
      <c r="J815" s="161"/>
    </row>
    <row r="816" ht="57.0" hidden="1" customHeight="1" outlineLevel="1">
      <c r="A816" s="60" t="s">
        <v>1109</v>
      </c>
      <c r="B816" s="61" t="b">
        <v>0</v>
      </c>
      <c r="C816" s="61" t="b">
        <v>0</v>
      </c>
      <c r="D816" s="62" t="s">
        <v>49</v>
      </c>
      <c r="E816" s="62" t="s">
        <v>585</v>
      </c>
      <c r="F816" s="62" t="s">
        <v>502</v>
      </c>
      <c r="G816" s="63"/>
      <c r="H816" s="210" t="b">
        <v>1</v>
      </c>
      <c r="I816" s="160"/>
      <c r="J816" s="161"/>
    </row>
    <row r="817" ht="57.0" hidden="1" customHeight="1" outlineLevel="1">
      <c r="A817" s="66" t="s">
        <v>1110</v>
      </c>
      <c r="B817" s="68" t="b">
        <v>0</v>
      </c>
      <c r="C817" s="68" t="b">
        <v>0</v>
      </c>
      <c r="D817" s="69" t="s">
        <v>49</v>
      </c>
      <c r="E817" s="69" t="s">
        <v>593</v>
      </c>
      <c r="F817" s="69" t="s">
        <v>502</v>
      </c>
      <c r="G817" s="70"/>
      <c r="H817" s="229" t="b">
        <v>1</v>
      </c>
      <c r="I817" s="160"/>
      <c r="J817" s="161"/>
    </row>
    <row r="818" ht="57.0" hidden="1" customHeight="1" outlineLevel="1">
      <c r="A818" s="60" t="s">
        <v>1111</v>
      </c>
      <c r="B818" s="61" t="b">
        <v>0</v>
      </c>
      <c r="C818" s="61" t="b">
        <v>0</v>
      </c>
      <c r="D818" s="62" t="s">
        <v>49</v>
      </c>
      <c r="E818" s="62" t="s">
        <v>593</v>
      </c>
      <c r="F818" s="62" t="s">
        <v>502</v>
      </c>
      <c r="G818" s="63"/>
      <c r="H818" s="210" t="b">
        <v>1</v>
      </c>
      <c r="I818" s="160"/>
      <c r="J818" s="161"/>
    </row>
    <row r="819" ht="57.0" hidden="1" customHeight="1" outlineLevel="1">
      <c r="A819" s="66" t="s">
        <v>1112</v>
      </c>
      <c r="B819" s="68" t="b">
        <v>0</v>
      </c>
      <c r="C819" s="68" t="b">
        <v>0</v>
      </c>
      <c r="D819" s="69" t="s">
        <v>49</v>
      </c>
      <c r="E819" s="69" t="s">
        <v>628</v>
      </c>
      <c r="F819" s="69" t="s">
        <v>502</v>
      </c>
      <c r="G819" s="70"/>
      <c r="H819" s="229" t="b">
        <v>1</v>
      </c>
      <c r="I819" s="160"/>
      <c r="J819" s="161"/>
    </row>
    <row r="820" ht="57.0" hidden="1" customHeight="1" outlineLevel="1">
      <c r="A820" s="60" t="s">
        <v>1113</v>
      </c>
      <c r="B820" s="61" t="b">
        <v>0</v>
      </c>
      <c r="C820" s="61" t="b">
        <v>0</v>
      </c>
      <c r="D820" s="62" t="s">
        <v>49</v>
      </c>
      <c r="E820" s="62" t="s">
        <v>628</v>
      </c>
      <c r="F820" s="62" t="s">
        <v>502</v>
      </c>
      <c r="G820" s="63"/>
      <c r="H820" s="210" t="b">
        <v>1</v>
      </c>
      <c r="I820" s="160"/>
      <c r="J820" s="161"/>
    </row>
    <row r="821" ht="57.0" hidden="1" customHeight="1" outlineLevel="1">
      <c r="A821" s="66" t="s">
        <v>1114</v>
      </c>
      <c r="B821" s="68" t="b">
        <v>0</v>
      </c>
      <c r="C821" s="68" t="b">
        <v>0</v>
      </c>
      <c r="D821" s="69" t="s">
        <v>49</v>
      </c>
      <c r="E821" s="69" t="s">
        <v>620</v>
      </c>
      <c r="F821" s="69" t="s">
        <v>502</v>
      </c>
      <c r="G821" s="70"/>
      <c r="H821" s="229" t="b">
        <v>1</v>
      </c>
      <c r="I821" s="160"/>
      <c r="J821" s="161"/>
    </row>
    <row r="822" ht="57.0" hidden="1" customHeight="1" outlineLevel="1">
      <c r="A822" s="60" t="s">
        <v>1115</v>
      </c>
      <c r="B822" s="61" t="b">
        <v>0</v>
      </c>
      <c r="C822" s="61" t="b">
        <v>0</v>
      </c>
      <c r="D822" s="62" t="s">
        <v>49</v>
      </c>
      <c r="E822" s="62" t="s">
        <v>798</v>
      </c>
      <c r="F822" s="62" t="s">
        <v>502</v>
      </c>
      <c r="G822" s="63"/>
      <c r="H822" s="210" t="b">
        <v>1</v>
      </c>
      <c r="I822" s="160"/>
      <c r="J822" s="161"/>
    </row>
    <row r="823" ht="57.0" hidden="1" customHeight="1" outlineLevel="1">
      <c r="A823" s="66" t="s">
        <v>1116</v>
      </c>
      <c r="B823" s="68" t="b">
        <v>0</v>
      </c>
      <c r="C823" s="68" t="b">
        <v>0</v>
      </c>
      <c r="D823" s="69" t="s">
        <v>49</v>
      </c>
      <c r="E823" s="69" t="s">
        <v>620</v>
      </c>
      <c r="F823" s="69" t="s">
        <v>502</v>
      </c>
      <c r="G823" s="70"/>
      <c r="H823" s="229" t="b">
        <v>1</v>
      </c>
      <c r="I823" s="160"/>
      <c r="J823" s="161"/>
    </row>
    <row r="824" ht="57.0" hidden="1" customHeight="1" outlineLevel="1">
      <c r="A824" s="60" t="s">
        <v>1117</v>
      </c>
      <c r="B824" s="61" t="b">
        <v>0</v>
      </c>
      <c r="C824" s="61" t="b">
        <v>0</v>
      </c>
      <c r="D824" s="62" t="s">
        <v>49</v>
      </c>
      <c r="E824" s="62" t="s">
        <v>593</v>
      </c>
      <c r="F824" s="62" t="s">
        <v>502</v>
      </c>
      <c r="G824" s="63"/>
      <c r="H824" s="210" t="b">
        <v>1</v>
      </c>
      <c r="I824" s="160"/>
      <c r="J824" s="161"/>
    </row>
    <row r="825" ht="57.0" hidden="1" customHeight="1" outlineLevel="1">
      <c r="A825" s="66" t="s">
        <v>892</v>
      </c>
      <c r="B825" s="68" t="b">
        <v>0</v>
      </c>
      <c r="C825" s="68" t="b">
        <v>0</v>
      </c>
      <c r="D825" s="69" t="s">
        <v>401</v>
      </c>
      <c r="E825" s="69" t="s">
        <v>620</v>
      </c>
      <c r="F825" s="69" t="s">
        <v>502</v>
      </c>
      <c r="G825" s="70"/>
      <c r="H825" s="229" t="b">
        <v>1</v>
      </c>
      <c r="I825" s="160"/>
      <c r="J825" s="161"/>
    </row>
    <row r="826" ht="57.0" customHeight="1">
      <c r="A826" s="60" t="s">
        <v>1118</v>
      </c>
      <c r="B826" s="61" t="b">
        <v>0</v>
      </c>
      <c r="C826" s="61" t="b">
        <v>0</v>
      </c>
      <c r="D826" s="62" t="s">
        <v>49</v>
      </c>
      <c r="E826" s="62" t="s">
        <v>1119</v>
      </c>
      <c r="F826" s="62" t="s">
        <v>1120</v>
      </c>
      <c r="G826" s="63" t="s">
        <v>1121</v>
      </c>
      <c r="H826" s="230" t="b">
        <v>0</v>
      </c>
      <c r="I826" s="160"/>
      <c r="J826" s="161"/>
    </row>
    <row r="827" ht="57.0" customHeight="1" collapsed="1">
      <c r="A827" s="231" t="s">
        <v>1122</v>
      </c>
      <c r="B827" s="232" t="b">
        <v>0</v>
      </c>
      <c r="C827" s="232" t="b">
        <v>0</v>
      </c>
      <c r="D827" s="233" t="s">
        <v>49</v>
      </c>
      <c r="E827" s="233" t="s">
        <v>1063</v>
      </c>
      <c r="F827" s="233" t="s">
        <v>1123</v>
      </c>
      <c r="G827" s="234" t="s">
        <v>1124</v>
      </c>
      <c r="H827" s="235" t="b">
        <v>0</v>
      </c>
      <c r="I827" s="160"/>
      <c r="J827" s="161"/>
    </row>
    <row r="828" ht="57.0" hidden="1" customHeight="1" outlineLevel="1">
      <c r="A828" s="236" t="s">
        <v>1125</v>
      </c>
      <c r="B828" s="237" t="b">
        <v>0</v>
      </c>
      <c r="C828" s="237" t="b">
        <v>0</v>
      </c>
      <c r="D828" s="238" t="s">
        <v>49</v>
      </c>
      <c r="E828" s="239" t="s">
        <v>539</v>
      </c>
      <c r="F828" s="240" t="s">
        <v>1126</v>
      </c>
      <c r="G828" s="241"/>
      <c r="H828" s="242" t="b">
        <v>1</v>
      </c>
      <c r="I828" s="212"/>
      <c r="J828" s="212"/>
    </row>
    <row r="829" ht="57.0" hidden="1" customHeight="1" outlineLevel="1">
      <c r="A829" s="243" t="s">
        <v>1127</v>
      </c>
      <c r="B829" s="244" t="b">
        <v>0</v>
      </c>
      <c r="C829" s="244" t="b">
        <v>0</v>
      </c>
      <c r="D829" s="245" t="s">
        <v>49</v>
      </c>
      <c r="E829" s="246" t="s">
        <v>539</v>
      </c>
      <c r="F829" s="247" t="s">
        <v>1123</v>
      </c>
      <c r="G829" s="248"/>
      <c r="H829" s="249" t="b">
        <v>1</v>
      </c>
      <c r="I829" s="212"/>
      <c r="J829" s="212"/>
    </row>
    <row r="830" ht="57.0" hidden="1" customHeight="1" outlineLevel="1">
      <c r="A830" s="250" t="s">
        <v>1128</v>
      </c>
      <c r="B830" s="251" t="b">
        <v>0</v>
      </c>
      <c r="C830" s="251" t="b">
        <v>0</v>
      </c>
      <c r="D830" s="252" t="s">
        <v>49</v>
      </c>
      <c r="E830" s="253" t="s">
        <v>539</v>
      </c>
      <c r="F830" s="254" t="s">
        <v>1123</v>
      </c>
      <c r="G830" s="255"/>
      <c r="H830" s="242" t="b">
        <v>1</v>
      </c>
      <c r="I830" s="212"/>
      <c r="J830" s="212"/>
    </row>
    <row r="831" ht="57.0" hidden="1" customHeight="1" outlineLevel="1">
      <c r="A831" s="243" t="s">
        <v>1129</v>
      </c>
      <c r="B831" s="244" t="b">
        <v>0</v>
      </c>
      <c r="C831" s="244" t="b">
        <v>0</v>
      </c>
      <c r="D831" s="245" t="s">
        <v>49</v>
      </c>
      <c r="E831" s="246" t="s">
        <v>539</v>
      </c>
      <c r="F831" s="247" t="s">
        <v>1123</v>
      </c>
      <c r="G831" s="248"/>
      <c r="H831" s="249" t="b">
        <v>1</v>
      </c>
      <c r="I831" s="212"/>
      <c r="J831" s="212"/>
    </row>
    <row r="832" ht="57.0" hidden="1" customHeight="1" outlineLevel="1">
      <c r="A832" s="250" t="s">
        <v>1130</v>
      </c>
      <c r="B832" s="251" t="b">
        <v>0</v>
      </c>
      <c r="C832" s="251" t="b">
        <v>0</v>
      </c>
      <c r="D832" s="252" t="s">
        <v>49</v>
      </c>
      <c r="E832" s="253" t="s">
        <v>539</v>
      </c>
      <c r="F832" s="254" t="s">
        <v>1123</v>
      </c>
      <c r="G832" s="255"/>
      <c r="H832" s="242" t="b">
        <v>1</v>
      </c>
      <c r="I832" s="212"/>
      <c r="J832" s="212"/>
    </row>
    <row r="833" ht="57.0" hidden="1" customHeight="1" outlineLevel="1">
      <c r="A833" s="243" t="s">
        <v>1131</v>
      </c>
      <c r="B833" s="244" t="b">
        <v>0</v>
      </c>
      <c r="C833" s="244" t="b">
        <v>0</v>
      </c>
      <c r="D833" s="245" t="s">
        <v>49</v>
      </c>
      <c r="E833" s="246" t="s">
        <v>539</v>
      </c>
      <c r="F833" s="247" t="s">
        <v>1123</v>
      </c>
      <c r="G833" s="248"/>
      <c r="H833" s="256" t="b">
        <v>1</v>
      </c>
      <c r="I833" s="212"/>
      <c r="J833" s="212"/>
    </row>
    <row r="834" ht="57.0" hidden="1" customHeight="1" outlineLevel="1">
      <c r="A834" s="250" t="s">
        <v>1132</v>
      </c>
      <c r="B834" s="251" t="b">
        <v>0</v>
      </c>
      <c r="C834" s="251" t="b">
        <v>0</v>
      </c>
      <c r="D834" s="252" t="s">
        <v>49</v>
      </c>
      <c r="E834" s="253" t="s">
        <v>539</v>
      </c>
      <c r="F834" s="254" t="s">
        <v>1123</v>
      </c>
      <c r="G834" s="255"/>
      <c r="H834" s="242" t="b">
        <v>1</v>
      </c>
      <c r="I834" s="212"/>
      <c r="J834" s="212"/>
    </row>
    <row r="835" ht="57.0" hidden="1" customHeight="1" outlineLevel="1">
      <c r="A835" s="243" t="s">
        <v>1133</v>
      </c>
      <c r="B835" s="244" t="b">
        <v>0</v>
      </c>
      <c r="C835" s="244" t="b">
        <v>0</v>
      </c>
      <c r="D835" s="245" t="s">
        <v>49</v>
      </c>
      <c r="E835" s="246" t="s">
        <v>539</v>
      </c>
      <c r="F835" s="247" t="s">
        <v>1123</v>
      </c>
      <c r="G835" s="248" t="s">
        <v>1134</v>
      </c>
      <c r="H835" s="249" t="b">
        <v>1</v>
      </c>
      <c r="I835" s="212"/>
      <c r="J835" s="212"/>
    </row>
    <row r="836" ht="57.0" hidden="1" customHeight="1" outlineLevel="1">
      <c r="A836" s="250" t="s">
        <v>1135</v>
      </c>
      <c r="B836" s="251" t="b">
        <v>0</v>
      </c>
      <c r="C836" s="251" t="b">
        <v>0</v>
      </c>
      <c r="D836" s="257" t="s">
        <v>49</v>
      </c>
      <c r="E836" s="258" t="s">
        <v>539</v>
      </c>
      <c r="F836" s="254" t="s">
        <v>1123</v>
      </c>
      <c r="G836" s="255"/>
      <c r="H836" s="242" t="b">
        <v>1</v>
      </c>
      <c r="I836" s="212"/>
      <c r="J836" s="212"/>
    </row>
    <row r="837" ht="57.0" hidden="1" customHeight="1" outlineLevel="1">
      <c r="A837" s="259" t="s">
        <v>1136</v>
      </c>
      <c r="B837" s="244" t="b">
        <v>0</v>
      </c>
      <c r="C837" s="244" t="b">
        <v>0</v>
      </c>
      <c r="D837" s="260" t="s">
        <v>49</v>
      </c>
      <c r="E837" s="247" t="s">
        <v>539</v>
      </c>
      <c r="F837" s="247" t="s">
        <v>1123</v>
      </c>
      <c r="G837" s="248"/>
      <c r="H837" s="261" t="b">
        <v>1</v>
      </c>
      <c r="I837" s="212"/>
      <c r="J837" s="212"/>
    </row>
    <row r="838" ht="57.0" hidden="1" customHeight="1" outlineLevel="1">
      <c r="A838" s="262" t="s">
        <v>1137</v>
      </c>
      <c r="B838" s="251" t="b">
        <v>0</v>
      </c>
      <c r="C838" s="251" t="b">
        <v>0</v>
      </c>
      <c r="D838" s="263" t="s">
        <v>49</v>
      </c>
      <c r="E838" s="254" t="s">
        <v>539</v>
      </c>
      <c r="F838" s="254" t="s">
        <v>1123</v>
      </c>
      <c r="G838" s="255"/>
      <c r="H838" s="264" t="b">
        <v>1</v>
      </c>
      <c r="I838" s="212"/>
      <c r="J838" s="212"/>
    </row>
    <row r="839" ht="57.0" hidden="1" customHeight="1" outlineLevel="1">
      <c r="A839" s="259" t="s">
        <v>1138</v>
      </c>
      <c r="B839" s="244" t="b">
        <v>0</v>
      </c>
      <c r="C839" s="244" t="b">
        <v>0</v>
      </c>
      <c r="D839" s="260" t="s">
        <v>49</v>
      </c>
      <c r="E839" s="247" t="s">
        <v>539</v>
      </c>
      <c r="F839" s="247" t="s">
        <v>1123</v>
      </c>
      <c r="G839" s="248" t="s">
        <v>1134</v>
      </c>
      <c r="H839" s="261" t="b">
        <v>1</v>
      </c>
      <c r="I839" s="212"/>
      <c r="J839" s="212"/>
    </row>
    <row r="840" ht="57.0" hidden="1" customHeight="1" outlineLevel="1">
      <c r="A840" s="265" t="s">
        <v>1139</v>
      </c>
      <c r="B840" s="266" t="b">
        <v>0</v>
      </c>
      <c r="C840" s="266" t="b">
        <v>0</v>
      </c>
      <c r="D840" s="267" t="s">
        <v>49</v>
      </c>
      <c r="E840" s="268" t="s">
        <v>539</v>
      </c>
      <c r="F840" s="268" t="s">
        <v>1126</v>
      </c>
      <c r="G840" s="269" t="s">
        <v>1134</v>
      </c>
      <c r="H840" s="264" t="b">
        <v>1</v>
      </c>
      <c r="I840" s="212"/>
      <c r="J840" s="212"/>
    </row>
    <row r="841" ht="31.5" customHeight="1">
      <c r="A841" s="173" t="str">
        <f> A275</f>
        <v>LEGEND: ⭐= Important / Major Impact | 📺= Series | 🍿= MCU Movie / Special | 🎬= Shortfilm/Oneshot | ⭕= Other Universe (Non-MCU)</v>
      </c>
      <c r="B841" s="174"/>
      <c r="C841" s="174"/>
      <c r="D841" s="174"/>
      <c r="E841" s="174"/>
      <c r="F841" s="174"/>
      <c r="G841" s="175"/>
      <c r="H841" s="125"/>
      <c r="I841" s="126"/>
      <c r="J841" s="126"/>
    </row>
    <row r="842" ht="31.5" customHeight="1">
      <c r="A842" s="127"/>
      <c r="B842" s="127"/>
      <c r="C842" s="127"/>
      <c r="D842" s="127"/>
      <c r="E842" s="127"/>
      <c r="F842" s="127"/>
      <c r="G842" s="127"/>
      <c r="H842" s="103"/>
      <c r="I842" s="126"/>
      <c r="J842" s="126"/>
    </row>
    <row r="843" ht="57.0" customHeight="1">
      <c r="A843" s="270" t="s">
        <v>1140</v>
      </c>
      <c r="B843" s="271"/>
      <c r="C843" s="271"/>
      <c r="D843" s="271"/>
      <c r="E843" s="271"/>
      <c r="F843" s="271"/>
      <c r="G843" s="271"/>
      <c r="H843" s="271"/>
      <c r="I843" s="271"/>
      <c r="J843" s="272"/>
    </row>
    <row r="844" ht="57.0" customHeight="1" collapsed="1">
      <c r="A844" s="213" t="s">
        <v>1141</v>
      </c>
      <c r="B844" s="214" t="b">
        <v>0</v>
      </c>
      <c r="C844" s="214" t="b">
        <v>0</v>
      </c>
      <c r="D844" s="215" t="s">
        <v>1142</v>
      </c>
      <c r="E844" s="215" t="s">
        <v>1143</v>
      </c>
      <c r="F844" s="215" t="s">
        <v>457</v>
      </c>
      <c r="G844" s="216" t="s">
        <v>1144</v>
      </c>
      <c r="H844" s="53" t="b">
        <v>0</v>
      </c>
      <c r="I844" s="136" t="s">
        <v>1145</v>
      </c>
      <c r="J844" s="58">
        <f>IF(
    COUNTIFS(C844:C926, FALSE, H844:H926, FALSE) = 0,
    0,
    COUNTIFS(B844:B926, TRUE, C844:C926, FALSE, H844:H926, FALSE) /
    COUNTIFS(C844:C926, FALSE, H844:H926, FALSE)
)</f>
        <v>0</v>
      </c>
    </row>
    <row r="845" ht="57.0" hidden="1" customHeight="1" outlineLevel="1">
      <c r="A845" s="60" t="s">
        <v>1146</v>
      </c>
      <c r="B845" s="61" t="b">
        <v>0</v>
      </c>
      <c r="C845" s="61" t="b">
        <v>0</v>
      </c>
      <c r="D845" s="62" t="s">
        <v>49</v>
      </c>
      <c r="E845" s="62" t="s">
        <v>1147</v>
      </c>
      <c r="F845" s="62" t="s">
        <v>457</v>
      </c>
      <c r="G845" s="63"/>
      <c r="H845" s="53" t="b">
        <v>1</v>
      </c>
      <c r="I845" s="111"/>
      <c r="J845" s="110"/>
    </row>
    <row r="846" ht="57.0" hidden="1" customHeight="1" outlineLevel="1">
      <c r="A846" s="66" t="s">
        <v>1148</v>
      </c>
      <c r="B846" s="68" t="b">
        <v>0</v>
      </c>
      <c r="C846" s="68" t="b">
        <v>0</v>
      </c>
      <c r="D846" s="69" t="s">
        <v>49</v>
      </c>
      <c r="E846" s="69" t="s">
        <v>1149</v>
      </c>
      <c r="F846" s="69" t="s">
        <v>457</v>
      </c>
      <c r="G846" s="70"/>
      <c r="H846" s="71" t="b">
        <v>1</v>
      </c>
      <c r="I846" s="111"/>
      <c r="J846" s="110"/>
    </row>
    <row r="847" ht="57.0" hidden="1" customHeight="1" outlineLevel="1">
      <c r="A847" s="60" t="s">
        <v>1150</v>
      </c>
      <c r="B847" s="61" t="b">
        <v>0</v>
      </c>
      <c r="C847" s="61" t="b">
        <v>0</v>
      </c>
      <c r="D847" s="62" t="s">
        <v>49</v>
      </c>
      <c r="E847" s="62" t="s">
        <v>1151</v>
      </c>
      <c r="F847" s="62" t="s">
        <v>457</v>
      </c>
      <c r="G847" s="63"/>
      <c r="H847" s="53" t="b">
        <v>1</v>
      </c>
      <c r="I847" s="273"/>
    </row>
    <row r="848" ht="57.0" hidden="1" customHeight="1" outlineLevel="1">
      <c r="A848" s="66" t="s">
        <v>1152</v>
      </c>
      <c r="B848" s="68" t="b">
        <v>0</v>
      </c>
      <c r="C848" s="68" t="b">
        <v>0</v>
      </c>
      <c r="D848" s="69" t="s">
        <v>49</v>
      </c>
      <c r="E848" s="69" t="s">
        <v>573</v>
      </c>
      <c r="F848" s="69" t="s">
        <v>457</v>
      </c>
      <c r="G848" s="70"/>
      <c r="H848" s="71" t="b">
        <v>1</v>
      </c>
    </row>
    <row r="849" ht="57.0" hidden="1" customHeight="1" outlineLevel="1">
      <c r="A849" s="60" t="s">
        <v>1153</v>
      </c>
      <c r="B849" s="61" t="b">
        <v>0</v>
      </c>
      <c r="C849" s="61" t="b">
        <v>0</v>
      </c>
      <c r="D849" s="62" t="s">
        <v>49</v>
      </c>
      <c r="E849" s="62" t="s">
        <v>551</v>
      </c>
      <c r="F849" s="62" t="s">
        <v>457</v>
      </c>
      <c r="G849" s="63"/>
      <c r="H849" s="53" t="b">
        <v>1</v>
      </c>
    </row>
    <row r="850" ht="57.0" hidden="1" customHeight="1" outlineLevel="1">
      <c r="A850" s="66" t="s">
        <v>1154</v>
      </c>
      <c r="B850" s="68" t="b">
        <v>0</v>
      </c>
      <c r="C850" s="68" t="b">
        <v>0</v>
      </c>
      <c r="D850" s="69" t="s">
        <v>49</v>
      </c>
      <c r="E850" s="69" t="s">
        <v>1155</v>
      </c>
      <c r="F850" s="69" t="s">
        <v>457</v>
      </c>
      <c r="G850" s="70"/>
      <c r="H850" s="71" t="b">
        <v>1</v>
      </c>
    </row>
    <row r="851" ht="57.0" hidden="1" customHeight="1" outlineLevel="1">
      <c r="A851" s="60" t="s">
        <v>1156</v>
      </c>
      <c r="B851" s="61" t="b">
        <v>0</v>
      </c>
      <c r="C851" s="61" t="b">
        <v>0</v>
      </c>
      <c r="D851" s="62" t="s">
        <v>401</v>
      </c>
      <c r="E851" s="62" t="s">
        <v>1155</v>
      </c>
      <c r="F851" s="62" t="s">
        <v>457</v>
      </c>
      <c r="G851" s="63"/>
      <c r="H851" s="53" t="b">
        <v>1</v>
      </c>
    </row>
    <row r="852" ht="57.0" hidden="1" customHeight="1" outlineLevel="1">
      <c r="A852" s="66" t="s">
        <v>1157</v>
      </c>
      <c r="B852" s="68" t="b">
        <v>0</v>
      </c>
      <c r="C852" s="68" t="b">
        <v>0</v>
      </c>
      <c r="D852" s="69" t="s">
        <v>401</v>
      </c>
      <c r="E852" s="69" t="s">
        <v>798</v>
      </c>
      <c r="F852" s="69" t="s">
        <v>457</v>
      </c>
      <c r="G852" s="70"/>
      <c r="H852" s="71" t="b">
        <v>1</v>
      </c>
    </row>
    <row r="853" ht="57.0" hidden="1" customHeight="1" outlineLevel="1">
      <c r="A853" s="60" t="s">
        <v>1158</v>
      </c>
      <c r="B853" s="61" t="b">
        <v>0</v>
      </c>
      <c r="C853" s="61" t="b">
        <v>0</v>
      </c>
      <c r="D853" s="62" t="s">
        <v>425</v>
      </c>
      <c r="E853" s="62" t="s">
        <v>628</v>
      </c>
      <c r="F853" s="62" t="s">
        <v>457</v>
      </c>
      <c r="G853" s="63"/>
      <c r="H853" s="53" t="b">
        <v>1</v>
      </c>
      <c r="I853" s="111"/>
      <c r="J853" s="110"/>
    </row>
    <row r="854" ht="57.0" customHeight="1" collapsed="1">
      <c r="A854" s="274" t="s">
        <v>1159</v>
      </c>
      <c r="B854" s="275" t="b">
        <v>0</v>
      </c>
      <c r="C854" s="275" t="b">
        <v>0</v>
      </c>
      <c r="D854" s="276" t="s">
        <v>1160</v>
      </c>
      <c r="E854" s="276" t="s">
        <v>1161</v>
      </c>
      <c r="F854" s="276" t="s">
        <v>457</v>
      </c>
      <c r="G854" s="277"/>
      <c r="H854" s="278" t="b">
        <v>0</v>
      </c>
      <c r="I854" s="142" t="s">
        <v>1162</v>
      </c>
      <c r="J854" s="143">
        <f>COUNTIF(C844:C926, TRUE) - COUNTIFS(C844:C926, TRUE, A844:A926,  " *")</f>
        <v>0</v>
      </c>
    </row>
    <row r="855" ht="57.0" hidden="1" customHeight="1" outlineLevel="1">
      <c r="A855" s="60" t="s">
        <v>1163</v>
      </c>
      <c r="B855" s="61" t="b">
        <v>0</v>
      </c>
      <c r="C855" s="61" t="b">
        <v>0</v>
      </c>
      <c r="D855" s="279" t="s">
        <v>49</v>
      </c>
      <c r="E855" s="62" t="s">
        <v>588</v>
      </c>
      <c r="F855" s="62" t="s">
        <v>457</v>
      </c>
      <c r="G855" s="63"/>
      <c r="H855" s="53" t="b">
        <v>1</v>
      </c>
      <c r="I855" s="280"/>
      <c r="J855" s="281"/>
    </row>
    <row r="856" ht="57.0" hidden="1" customHeight="1" outlineLevel="1">
      <c r="A856" s="66" t="s">
        <v>1164</v>
      </c>
      <c r="B856" s="68" t="b">
        <v>0</v>
      </c>
      <c r="C856" s="68" t="b">
        <v>0</v>
      </c>
      <c r="D856" s="69" t="s">
        <v>49</v>
      </c>
      <c r="E856" s="69" t="s">
        <v>595</v>
      </c>
      <c r="F856" s="69" t="s">
        <v>457</v>
      </c>
      <c r="G856" s="70"/>
      <c r="H856" s="71" t="b">
        <v>1</v>
      </c>
      <c r="I856" s="280"/>
      <c r="J856" s="281"/>
    </row>
    <row r="857" ht="57.0" hidden="1" customHeight="1" outlineLevel="1">
      <c r="A857" s="60" t="s">
        <v>1165</v>
      </c>
      <c r="B857" s="61" t="b">
        <v>0</v>
      </c>
      <c r="C857" s="61" t="b">
        <v>0</v>
      </c>
      <c r="D857" s="62" t="s">
        <v>49</v>
      </c>
      <c r="E857" s="62" t="s">
        <v>618</v>
      </c>
      <c r="F857" s="62" t="s">
        <v>457</v>
      </c>
      <c r="G857" s="63"/>
      <c r="H857" s="53" t="b">
        <v>1</v>
      </c>
      <c r="I857" s="280"/>
      <c r="J857" s="281"/>
    </row>
    <row r="858" ht="57.0" hidden="1" customHeight="1" outlineLevel="1">
      <c r="A858" s="66" t="s">
        <v>1166</v>
      </c>
      <c r="B858" s="68" t="b">
        <v>0</v>
      </c>
      <c r="C858" s="68" t="b">
        <v>0</v>
      </c>
      <c r="D858" s="69" t="s">
        <v>49</v>
      </c>
      <c r="E858" s="69" t="s">
        <v>618</v>
      </c>
      <c r="F858" s="69" t="s">
        <v>457</v>
      </c>
      <c r="G858" s="70"/>
      <c r="H858" s="71" t="b">
        <v>1</v>
      </c>
      <c r="I858" s="280"/>
      <c r="J858" s="281"/>
    </row>
    <row r="859" ht="57.0" hidden="1" customHeight="1" outlineLevel="1">
      <c r="A859" s="60" t="s">
        <v>1167</v>
      </c>
      <c r="B859" s="61" t="b">
        <v>0</v>
      </c>
      <c r="C859" s="61" t="b">
        <v>0</v>
      </c>
      <c r="D859" s="62" t="s">
        <v>401</v>
      </c>
      <c r="E859" s="62" t="s">
        <v>604</v>
      </c>
      <c r="F859" s="62" t="s">
        <v>457</v>
      </c>
      <c r="G859" s="63"/>
      <c r="H859" s="53" t="b">
        <v>1</v>
      </c>
      <c r="I859" s="280"/>
      <c r="J859" s="281"/>
    </row>
    <row r="860" ht="57.0" hidden="1" customHeight="1" outlineLevel="1">
      <c r="A860" s="66" t="s">
        <v>1168</v>
      </c>
      <c r="B860" s="68" t="b">
        <v>0</v>
      </c>
      <c r="C860" s="68" t="b">
        <v>0</v>
      </c>
      <c r="D860" s="69" t="s">
        <v>401</v>
      </c>
      <c r="E860" s="69" t="s">
        <v>591</v>
      </c>
      <c r="F860" s="69" t="s">
        <v>457</v>
      </c>
      <c r="G860" s="70"/>
      <c r="H860" s="71" t="b">
        <v>1</v>
      </c>
      <c r="I860" s="280"/>
      <c r="J860" s="281"/>
    </row>
    <row r="861" ht="57.0" customHeight="1" collapsed="1">
      <c r="A861" s="60" t="s">
        <v>1169</v>
      </c>
      <c r="B861" s="61" t="b">
        <v>0</v>
      </c>
      <c r="C861" s="61" t="b">
        <v>0</v>
      </c>
      <c r="D861" s="62" t="s">
        <v>1170</v>
      </c>
      <c r="E861" s="62" t="s">
        <v>1171</v>
      </c>
      <c r="F861" s="62" t="s">
        <v>1172</v>
      </c>
      <c r="G861" s="63" t="s">
        <v>1173</v>
      </c>
      <c r="H861" s="53" t="b">
        <v>0</v>
      </c>
      <c r="I861" s="148" t="s">
        <v>110</v>
      </c>
      <c r="J861" s="98">
        <f>J31</f>
        <v>0</v>
      </c>
    </row>
    <row r="862" ht="57.0" hidden="1" customHeight="1" outlineLevel="1">
      <c r="A862" s="60" t="s">
        <v>1174</v>
      </c>
      <c r="B862" s="61" t="b">
        <v>0</v>
      </c>
      <c r="C862" s="61" t="b">
        <v>0</v>
      </c>
      <c r="D862" s="62" t="s">
        <v>49</v>
      </c>
      <c r="E862" s="62" t="s">
        <v>678</v>
      </c>
      <c r="F862" s="62" t="s">
        <v>1172</v>
      </c>
      <c r="G862" s="63"/>
      <c r="H862" s="53" t="b">
        <v>1</v>
      </c>
      <c r="I862" s="282"/>
      <c r="J862" s="282"/>
    </row>
    <row r="863" ht="57.0" hidden="1" customHeight="1" outlineLevel="1">
      <c r="A863" s="66" t="s">
        <v>1175</v>
      </c>
      <c r="B863" s="68" t="b">
        <v>0</v>
      </c>
      <c r="C863" s="68" t="b">
        <v>0</v>
      </c>
      <c r="D863" s="69" t="s">
        <v>49</v>
      </c>
      <c r="E863" s="69" t="s">
        <v>618</v>
      </c>
      <c r="F863" s="69" t="s">
        <v>1172</v>
      </c>
      <c r="G863" s="70"/>
      <c r="H863" s="71" t="b">
        <v>1</v>
      </c>
      <c r="I863" s="282"/>
      <c r="J863" s="282"/>
    </row>
    <row r="864" ht="57.0" hidden="1" customHeight="1" outlineLevel="1">
      <c r="A864" s="60" t="s">
        <v>1176</v>
      </c>
      <c r="B864" s="61" t="b">
        <v>0</v>
      </c>
      <c r="C864" s="61" t="b">
        <v>0</v>
      </c>
      <c r="D864" s="62" t="s">
        <v>49</v>
      </c>
      <c r="E864" s="62" t="s">
        <v>551</v>
      </c>
      <c r="F864" s="62" t="s">
        <v>1172</v>
      </c>
      <c r="G864" s="63"/>
      <c r="H864" s="53" t="b">
        <v>1</v>
      </c>
      <c r="I864" s="282"/>
      <c r="J864" s="282"/>
    </row>
    <row r="865" ht="57.0" hidden="1" customHeight="1" outlineLevel="1">
      <c r="A865" s="66" t="s">
        <v>1177</v>
      </c>
      <c r="B865" s="68" t="b">
        <v>0</v>
      </c>
      <c r="C865" s="68" t="b">
        <v>0</v>
      </c>
      <c r="D865" s="69" t="s">
        <v>401</v>
      </c>
      <c r="E865" s="69" t="s">
        <v>593</v>
      </c>
      <c r="F865" s="69" t="s">
        <v>1172</v>
      </c>
      <c r="G865" s="70"/>
      <c r="H865" s="71" t="b">
        <v>1</v>
      </c>
      <c r="I865" s="282"/>
      <c r="J865" s="282"/>
    </row>
    <row r="866" ht="57.0" hidden="1" customHeight="1" outlineLevel="1">
      <c r="A866" s="60" t="s">
        <v>1178</v>
      </c>
      <c r="B866" s="61" t="b">
        <v>0</v>
      </c>
      <c r="C866" s="61" t="b">
        <v>0</v>
      </c>
      <c r="D866" s="62" t="s">
        <v>49</v>
      </c>
      <c r="E866" s="62" t="s">
        <v>620</v>
      </c>
      <c r="F866" s="62" t="s">
        <v>1172</v>
      </c>
      <c r="G866" s="63"/>
      <c r="H866" s="53" t="b">
        <v>1</v>
      </c>
      <c r="I866" s="282"/>
      <c r="J866" s="282"/>
    </row>
    <row r="867" ht="57.0" hidden="1" customHeight="1" outlineLevel="1">
      <c r="A867" s="66" t="s">
        <v>1179</v>
      </c>
      <c r="B867" s="68" t="b">
        <v>0</v>
      </c>
      <c r="C867" s="68" t="b">
        <v>0</v>
      </c>
      <c r="D867" s="69" t="s">
        <v>49</v>
      </c>
      <c r="E867" s="69" t="s">
        <v>539</v>
      </c>
      <c r="F867" s="69" t="s">
        <v>1172</v>
      </c>
      <c r="G867" s="70"/>
      <c r="H867" s="71" t="b">
        <v>1</v>
      </c>
      <c r="I867" s="282"/>
      <c r="J867" s="282"/>
    </row>
    <row r="868" ht="57.0" customHeight="1">
      <c r="A868" s="274" t="s">
        <v>1180</v>
      </c>
      <c r="B868" s="275" t="b">
        <v>0</v>
      </c>
      <c r="C868" s="275" t="b">
        <v>0</v>
      </c>
      <c r="D868" s="276" t="s">
        <v>401</v>
      </c>
      <c r="E868" s="276" t="s">
        <v>410</v>
      </c>
      <c r="F868" s="276" t="s">
        <v>457</v>
      </c>
      <c r="G868" s="277" t="s">
        <v>1181</v>
      </c>
      <c r="H868" s="278" t="b">
        <v>0</v>
      </c>
      <c r="I868" s="197" t="str">
        <f>image("https://cdn.marvel.com/u/prod/marvel/i/mg/9/b0/5e53eb99df302/clean.jpg")</f>
        <v>#REF!</v>
      </c>
    </row>
    <row r="869" ht="57.0" customHeight="1">
      <c r="A869" s="60" t="s">
        <v>1182</v>
      </c>
      <c r="B869" s="61" t="b">
        <v>0</v>
      </c>
      <c r="C869" s="61" t="b">
        <v>0</v>
      </c>
      <c r="D869" s="62" t="s">
        <v>49</v>
      </c>
      <c r="E869" s="62" t="s">
        <v>464</v>
      </c>
      <c r="F869" s="62" t="s">
        <v>457</v>
      </c>
      <c r="G869" s="217" t="s">
        <v>1183</v>
      </c>
      <c r="H869" s="53" t="b">
        <v>0</v>
      </c>
    </row>
    <row r="870" ht="57.0" customHeight="1" collapsed="1">
      <c r="A870" s="274" t="s">
        <v>1184</v>
      </c>
      <c r="B870" s="275" t="b">
        <v>0</v>
      </c>
      <c r="C870" s="275" t="b">
        <v>0</v>
      </c>
      <c r="D870" s="276" t="s">
        <v>1185</v>
      </c>
      <c r="E870" s="276" t="s">
        <v>1186</v>
      </c>
      <c r="F870" s="276" t="s">
        <v>1187</v>
      </c>
      <c r="G870" s="277" t="s">
        <v>1188</v>
      </c>
      <c r="H870" s="278" t="b">
        <v>0</v>
      </c>
    </row>
    <row r="871" ht="57.0" hidden="1" customHeight="1" outlineLevel="1">
      <c r="A871" s="60" t="s">
        <v>1189</v>
      </c>
      <c r="B871" s="61" t="b">
        <v>0</v>
      </c>
      <c r="C871" s="61" t="b">
        <v>0</v>
      </c>
      <c r="D871" s="62" t="s">
        <v>49</v>
      </c>
      <c r="E871" s="62" t="s">
        <v>1190</v>
      </c>
      <c r="F871" s="62" t="s">
        <v>1191</v>
      </c>
      <c r="G871" s="63"/>
      <c r="H871" s="53" t="b">
        <v>1</v>
      </c>
    </row>
    <row r="872" ht="57.0" hidden="1" customHeight="1" outlineLevel="1">
      <c r="A872" s="66" t="s">
        <v>1192</v>
      </c>
      <c r="B872" s="68" t="b">
        <v>0</v>
      </c>
      <c r="C872" s="68" t="b">
        <v>0</v>
      </c>
      <c r="D872" s="69" t="s">
        <v>49</v>
      </c>
      <c r="E872" s="69" t="s">
        <v>1147</v>
      </c>
      <c r="F872" s="69" t="s">
        <v>1193</v>
      </c>
      <c r="G872" s="70"/>
      <c r="H872" s="71" t="b">
        <v>1</v>
      </c>
    </row>
    <row r="873" ht="57.0" hidden="1" customHeight="1" outlineLevel="1">
      <c r="A873" s="60" t="s">
        <v>1194</v>
      </c>
      <c r="B873" s="61" t="b">
        <v>0</v>
      </c>
      <c r="C873" s="61" t="b">
        <v>0</v>
      </c>
      <c r="D873" s="62" t="s">
        <v>49</v>
      </c>
      <c r="E873" s="62" t="s">
        <v>1151</v>
      </c>
      <c r="F873" s="62" t="s">
        <v>1195</v>
      </c>
      <c r="G873" s="63"/>
      <c r="H873" s="53" t="b">
        <v>1</v>
      </c>
    </row>
    <row r="874" ht="57.0" hidden="1" customHeight="1" outlineLevel="1">
      <c r="A874" s="66" t="s">
        <v>1196</v>
      </c>
      <c r="B874" s="68" t="b">
        <v>0</v>
      </c>
      <c r="C874" s="68" t="b">
        <v>0</v>
      </c>
      <c r="D874" s="69" t="s">
        <v>49</v>
      </c>
      <c r="E874" s="69" t="s">
        <v>1149</v>
      </c>
      <c r="F874" s="69" t="s">
        <v>1197</v>
      </c>
      <c r="G874" s="70"/>
      <c r="H874" s="71" t="b">
        <v>1</v>
      </c>
    </row>
    <row r="875" ht="57.0" hidden="1" customHeight="1" outlineLevel="1">
      <c r="A875" s="60" t="s">
        <v>1198</v>
      </c>
      <c r="B875" s="61" t="b">
        <v>0</v>
      </c>
      <c r="C875" s="61" t="b">
        <v>0</v>
      </c>
      <c r="D875" s="62" t="s">
        <v>49</v>
      </c>
      <c r="E875" s="62" t="s">
        <v>1151</v>
      </c>
      <c r="F875" s="62" t="s">
        <v>1199</v>
      </c>
      <c r="G875" s="63"/>
      <c r="H875" s="53" t="b">
        <v>1</v>
      </c>
    </row>
    <row r="876" ht="57.0" hidden="1" customHeight="1" outlineLevel="1">
      <c r="A876" s="66" t="s">
        <v>1200</v>
      </c>
      <c r="B876" s="68" t="b">
        <v>0</v>
      </c>
      <c r="C876" s="68" t="b">
        <v>0</v>
      </c>
      <c r="D876" s="69" t="s">
        <v>49</v>
      </c>
      <c r="E876" s="69" t="s">
        <v>1190</v>
      </c>
      <c r="F876" s="69" t="s">
        <v>1201</v>
      </c>
      <c r="G876" s="70"/>
      <c r="H876" s="71" t="b">
        <v>1</v>
      </c>
    </row>
    <row r="877" ht="57.0" hidden="1" customHeight="1" outlineLevel="1">
      <c r="A877" s="60" t="s">
        <v>1202</v>
      </c>
      <c r="B877" s="61" t="b">
        <v>0</v>
      </c>
      <c r="C877" s="61" t="b">
        <v>0</v>
      </c>
      <c r="D877" s="62" t="s">
        <v>49</v>
      </c>
      <c r="E877" s="62" t="s">
        <v>1203</v>
      </c>
      <c r="F877" s="62" t="s">
        <v>1204</v>
      </c>
      <c r="G877" s="63"/>
      <c r="H877" s="53" t="b">
        <v>1</v>
      </c>
    </row>
    <row r="878" ht="57.0" hidden="1" customHeight="1" outlineLevel="1">
      <c r="A878" s="66" t="s">
        <v>1205</v>
      </c>
      <c r="B878" s="68" t="b">
        <v>0</v>
      </c>
      <c r="C878" s="68" t="b">
        <v>0</v>
      </c>
      <c r="D878" s="69" t="s">
        <v>49</v>
      </c>
      <c r="E878" s="69" t="s">
        <v>1206</v>
      </c>
      <c r="F878" s="69" t="s">
        <v>1207</v>
      </c>
      <c r="G878" s="70"/>
      <c r="H878" s="71" t="b">
        <v>1</v>
      </c>
    </row>
    <row r="879" ht="57.0" hidden="1" customHeight="1" outlineLevel="1">
      <c r="A879" s="60" t="s">
        <v>1208</v>
      </c>
      <c r="B879" s="61" t="b">
        <v>0</v>
      </c>
      <c r="C879" s="61" t="b">
        <v>0</v>
      </c>
      <c r="D879" s="62" t="s">
        <v>401</v>
      </c>
      <c r="E879" s="62" t="s">
        <v>1190</v>
      </c>
      <c r="F879" s="62" t="s">
        <v>1209</v>
      </c>
      <c r="G879" s="63"/>
      <c r="H879" s="53" t="b">
        <v>1</v>
      </c>
    </row>
    <row r="880" ht="57.0" customHeight="1">
      <c r="A880" s="60" t="s">
        <v>1210</v>
      </c>
      <c r="B880" s="61" t="b">
        <v>0</v>
      </c>
      <c r="C880" s="61" t="b">
        <v>0</v>
      </c>
      <c r="D880" s="62" t="s">
        <v>401</v>
      </c>
      <c r="E880" s="62" t="s">
        <v>419</v>
      </c>
      <c r="F880" s="62" t="s">
        <v>995</v>
      </c>
      <c r="G880" s="63"/>
      <c r="H880" s="53" t="b">
        <v>0</v>
      </c>
    </row>
    <row r="881" ht="57.0" customHeight="1">
      <c r="A881" s="274" t="s">
        <v>1211</v>
      </c>
      <c r="B881" s="275" t="b">
        <v>0</v>
      </c>
      <c r="C881" s="275" t="b">
        <v>0</v>
      </c>
      <c r="D881" s="276" t="s">
        <v>425</v>
      </c>
      <c r="E881" s="276" t="s">
        <v>1212</v>
      </c>
      <c r="F881" s="276" t="s">
        <v>457</v>
      </c>
      <c r="G881" s="277"/>
      <c r="H881" s="278" t="b">
        <v>0</v>
      </c>
    </row>
    <row r="882" ht="57.0" customHeight="1">
      <c r="A882" s="60" t="s">
        <v>1213</v>
      </c>
      <c r="B882" s="61" t="b">
        <v>0</v>
      </c>
      <c r="C882" s="61" t="b">
        <v>0</v>
      </c>
      <c r="D882" s="62" t="s">
        <v>425</v>
      </c>
      <c r="E882" s="62" t="s">
        <v>1214</v>
      </c>
      <c r="F882" s="62" t="s">
        <v>457</v>
      </c>
      <c r="G882" s="63"/>
      <c r="H882" s="53" t="b">
        <v>0</v>
      </c>
    </row>
    <row r="883" ht="57.0" customHeight="1" collapsed="1">
      <c r="A883" s="274" t="s">
        <v>1215</v>
      </c>
      <c r="B883" s="275" t="b">
        <v>0</v>
      </c>
      <c r="C883" s="275" t="b">
        <v>0</v>
      </c>
      <c r="D883" s="276" t="s">
        <v>1216</v>
      </c>
      <c r="E883" s="276" t="s">
        <v>1217</v>
      </c>
      <c r="F883" s="276" t="s">
        <v>457</v>
      </c>
      <c r="G883" s="277"/>
      <c r="H883" s="278" t="b">
        <v>0</v>
      </c>
    </row>
    <row r="884" ht="57.0" hidden="1" customHeight="1" outlineLevel="1">
      <c r="A884" s="60" t="s">
        <v>1218</v>
      </c>
      <c r="B884" s="61" t="b">
        <v>0</v>
      </c>
      <c r="C884" s="61" t="b">
        <v>0</v>
      </c>
      <c r="D884" s="62" t="s">
        <v>49</v>
      </c>
      <c r="E884" s="62" t="s">
        <v>798</v>
      </c>
      <c r="F884" s="62" t="s">
        <v>457</v>
      </c>
      <c r="G884" s="63"/>
      <c r="H884" s="53" t="b">
        <v>1</v>
      </c>
      <c r="I884" s="193"/>
      <c r="J884" s="193"/>
    </row>
    <row r="885" ht="57.0" hidden="1" customHeight="1" outlineLevel="1">
      <c r="A885" s="66" t="s">
        <v>1219</v>
      </c>
      <c r="B885" s="68" t="b">
        <v>0</v>
      </c>
      <c r="C885" s="68" t="b">
        <v>0</v>
      </c>
      <c r="D885" s="69" t="s">
        <v>49</v>
      </c>
      <c r="E885" s="69" t="s">
        <v>595</v>
      </c>
      <c r="F885" s="69" t="s">
        <v>457</v>
      </c>
      <c r="G885" s="70"/>
      <c r="H885" s="71" t="b">
        <v>1</v>
      </c>
      <c r="I885" s="193"/>
      <c r="J885" s="193"/>
    </row>
    <row r="886" ht="57.0" hidden="1" customHeight="1" outlineLevel="1">
      <c r="A886" s="60" t="s">
        <v>1220</v>
      </c>
      <c r="B886" s="61" t="b">
        <v>0</v>
      </c>
      <c r="C886" s="61" t="b">
        <v>0</v>
      </c>
      <c r="D886" s="62" t="s">
        <v>49</v>
      </c>
      <c r="E886" s="62" t="s">
        <v>430</v>
      </c>
      <c r="F886" s="62" t="s">
        <v>457</v>
      </c>
      <c r="G886" s="63"/>
      <c r="H886" s="53" t="b">
        <v>1</v>
      </c>
      <c r="I886" s="193"/>
      <c r="J886" s="193"/>
    </row>
    <row r="887" ht="57.0" hidden="1" customHeight="1" outlineLevel="1">
      <c r="A887" s="66" t="s">
        <v>1221</v>
      </c>
      <c r="B887" s="68" t="b">
        <v>0</v>
      </c>
      <c r="C887" s="68" t="b">
        <v>0</v>
      </c>
      <c r="D887" s="69" t="s">
        <v>49</v>
      </c>
      <c r="E887" s="69" t="s">
        <v>585</v>
      </c>
      <c r="F887" s="69" t="s">
        <v>457</v>
      </c>
      <c r="G887" s="70"/>
      <c r="H887" s="71" t="b">
        <v>1</v>
      </c>
      <c r="I887" s="193"/>
      <c r="J887" s="193"/>
    </row>
    <row r="888" ht="57.0" hidden="1" customHeight="1" outlineLevel="1">
      <c r="A888" s="60" t="s">
        <v>1222</v>
      </c>
      <c r="B888" s="61" t="b">
        <v>0</v>
      </c>
      <c r="C888" s="61" t="b">
        <v>0</v>
      </c>
      <c r="D888" s="62" t="s">
        <v>49</v>
      </c>
      <c r="E888" s="62" t="s">
        <v>432</v>
      </c>
      <c r="F888" s="62" t="s">
        <v>457</v>
      </c>
      <c r="G888" s="63"/>
      <c r="H888" s="53" t="b">
        <v>1</v>
      </c>
      <c r="I888" s="193"/>
      <c r="J888" s="193"/>
    </row>
    <row r="889" ht="57.0" hidden="1" customHeight="1" outlineLevel="1">
      <c r="A889" s="66" t="s">
        <v>1223</v>
      </c>
      <c r="B889" s="68" t="b">
        <v>0</v>
      </c>
      <c r="C889" s="68" t="b">
        <v>0</v>
      </c>
      <c r="D889" s="69" t="s">
        <v>401</v>
      </c>
      <c r="E889" s="69" t="s">
        <v>1224</v>
      </c>
      <c r="F889" s="69" t="s">
        <v>457</v>
      </c>
      <c r="G889" s="70"/>
      <c r="H889" s="71" t="b">
        <v>1</v>
      </c>
      <c r="I889" s="193"/>
      <c r="J889" s="193"/>
    </row>
    <row r="890" ht="57.0" customHeight="1">
      <c r="A890" s="60" t="s">
        <v>1225</v>
      </c>
      <c r="B890" s="61" t="b">
        <v>0</v>
      </c>
      <c r="C890" s="61" t="b">
        <v>0</v>
      </c>
      <c r="D890" s="62" t="s">
        <v>425</v>
      </c>
      <c r="E890" s="62" t="s">
        <v>1226</v>
      </c>
      <c r="F890" s="62" t="s">
        <v>457</v>
      </c>
      <c r="G890" s="283" t="s">
        <v>1227</v>
      </c>
      <c r="H890" s="53" t="b">
        <v>0</v>
      </c>
      <c r="I890" s="193"/>
      <c r="J890" s="193"/>
    </row>
    <row r="891" ht="57.0" customHeight="1" collapsed="1">
      <c r="A891" s="274" t="s">
        <v>1228</v>
      </c>
      <c r="B891" s="275" t="b">
        <v>0</v>
      </c>
      <c r="C891" s="275" t="b">
        <v>0</v>
      </c>
      <c r="D891" s="276" t="s">
        <v>1216</v>
      </c>
      <c r="E891" s="276" t="s">
        <v>1229</v>
      </c>
      <c r="F891" s="276" t="s">
        <v>457</v>
      </c>
      <c r="G891" s="277"/>
      <c r="H891" s="278" t="b">
        <v>0</v>
      </c>
      <c r="I891" s="193"/>
      <c r="J891" s="193"/>
    </row>
    <row r="892" ht="57.0" hidden="1" customHeight="1" outlineLevel="1">
      <c r="A892" s="60" t="s">
        <v>1230</v>
      </c>
      <c r="B892" s="61" t="b">
        <v>0</v>
      </c>
      <c r="C892" s="61" t="b">
        <v>0</v>
      </c>
      <c r="D892" s="62" t="s">
        <v>49</v>
      </c>
      <c r="E892" s="62" t="s">
        <v>798</v>
      </c>
      <c r="F892" s="62" t="s">
        <v>457</v>
      </c>
      <c r="G892" s="63"/>
      <c r="H892" s="53" t="b">
        <v>1</v>
      </c>
      <c r="I892" s="193"/>
      <c r="J892" s="193"/>
    </row>
    <row r="893" ht="57.0" hidden="1" customHeight="1" outlineLevel="1">
      <c r="A893" s="66" t="s">
        <v>1231</v>
      </c>
      <c r="B893" s="68" t="b">
        <v>0</v>
      </c>
      <c r="C893" s="68" t="b">
        <v>0</v>
      </c>
      <c r="D893" s="69" t="s">
        <v>49</v>
      </c>
      <c r="E893" s="69" t="s">
        <v>678</v>
      </c>
      <c r="F893" s="69" t="s">
        <v>457</v>
      </c>
      <c r="G893" s="70"/>
      <c r="H893" s="71" t="b">
        <v>1</v>
      </c>
      <c r="I893" s="193"/>
      <c r="J893" s="193"/>
    </row>
    <row r="894" ht="57.0" hidden="1" customHeight="1" outlineLevel="1">
      <c r="A894" s="60" t="s">
        <v>1232</v>
      </c>
      <c r="B894" s="61" t="b">
        <v>0</v>
      </c>
      <c r="C894" s="61" t="b">
        <v>0</v>
      </c>
      <c r="D894" s="62" t="s">
        <v>49</v>
      </c>
      <c r="E894" s="62" t="s">
        <v>588</v>
      </c>
      <c r="F894" s="62" t="s">
        <v>457</v>
      </c>
      <c r="G894" s="63"/>
      <c r="H894" s="53" t="b">
        <v>1</v>
      </c>
      <c r="I894" s="193"/>
      <c r="J894" s="193"/>
    </row>
    <row r="895" ht="57.0" hidden="1" customHeight="1" outlineLevel="1">
      <c r="A895" s="66" t="s">
        <v>1233</v>
      </c>
      <c r="B895" s="68" t="b">
        <v>0</v>
      </c>
      <c r="C895" s="68" t="b">
        <v>0</v>
      </c>
      <c r="D895" s="69" t="s">
        <v>49</v>
      </c>
      <c r="E895" s="69" t="s">
        <v>585</v>
      </c>
      <c r="F895" s="69" t="s">
        <v>457</v>
      </c>
      <c r="G895" s="70"/>
      <c r="H895" s="71" t="b">
        <v>1</v>
      </c>
      <c r="I895" s="193"/>
      <c r="J895" s="193"/>
    </row>
    <row r="896" ht="57.0" hidden="1" customHeight="1" outlineLevel="1">
      <c r="A896" s="60" t="s">
        <v>1234</v>
      </c>
      <c r="B896" s="61" t="b">
        <v>0</v>
      </c>
      <c r="C896" s="61" t="b">
        <v>0</v>
      </c>
      <c r="D896" s="62" t="s">
        <v>49</v>
      </c>
      <c r="E896" s="62" t="s">
        <v>620</v>
      </c>
      <c r="F896" s="62" t="s">
        <v>457</v>
      </c>
      <c r="G896" s="63"/>
      <c r="H896" s="53" t="b">
        <v>1</v>
      </c>
      <c r="I896" s="193"/>
      <c r="J896" s="193"/>
    </row>
    <row r="897" ht="57.0" hidden="1" customHeight="1" outlineLevel="1">
      <c r="A897" s="66" t="s">
        <v>1235</v>
      </c>
      <c r="B897" s="68" t="b">
        <v>0</v>
      </c>
      <c r="C897" s="68" t="b">
        <v>0</v>
      </c>
      <c r="D897" s="69" t="s">
        <v>401</v>
      </c>
      <c r="E897" s="69" t="s">
        <v>628</v>
      </c>
      <c r="F897" s="69" t="s">
        <v>457</v>
      </c>
      <c r="G897" s="70"/>
      <c r="H897" s="71" t="b">
        <v>1</v>
      </c>
      <c r="I897" s="193"/>
      <c r="J897" s="193"/>
    </row>
    <row r="898" ht="57.0" customHeight="1">
      <c r="A898" s="60" t="s">
        <v>1236</v>
      </c>
      <c r="B898" s="61" t="b">
        <v>0</v>
      </c>
      <c r="C898" s="61" t="b">
        <v>0</v>
      </c>
      <c r="D898" s="62" t="s">
        <v>425</v>
      </c>
      <c r="E898" s="62" t="s">
        <v>393</v>
      </c>
      <c r="F898" s="62" t="s">
        <v>995</v>
      </c>
      <c r="G898" s="63"/>
      <c r="H898" s="53" t="b">
        <v>0</v>
      </c>
      <c r="I898" s="193"/>
      <c r="J898" s="193"/>
    </row>
    <row r="899" ht="57.0" customHeight="1">
      <c r="A899" s="274" t="s">
        <v>1237</v>
      </c>
      <c r="B899" s="275" t="b">
        <v>0</v>
      </c>
      <c r="C899" s="275" t="b">
        <v>0</v>
      </c>
      <c r="D899" s="276" t="s">
        <v>425</v>
      </c>
      <c r="E899" s="276" t="s">
        <v>456</v>
      </c>
      <c r="F899" s="276" t="s">
        <v>1238</v>
      </c>
      <c r="G899" s="277"/>
      <c r="H899" s="278" t="b">
        <v>0</v>
      </c>
      <c r="I899" s="193"/>
      <c r="J899" s="193"/>
    </row>
    <row r="900" ht="57.0" customHeight="1" collapsed="1">
      <c r="A900" s="60" t="s">
        <v>1239</v>
      </c>
      <c r="B900" s="61" t="b">
        <v>0</v>
      </c>
      <c r="C900" s="61" t="b">
        <v>0</v>
      </c>
      <c r="D900" s="62" t="s">
        <v>1240</v>
      </c>
      <c r="E900" s="62" t="s">
        <v>1241</v>
      </c>
      <c r="F900" s="62" t="s">
        <v>457</v>
      </c>
      <c r="G900" s="63"/>
      <c r="H900" s="226" t="b">
        <v>0</v>
      </c>
      <c r="I900" s="160"/>
      <c r="J900" s="161"/>
    </row>
    <row r="901" ht="57.0" hidden="1" customHeight="1" outlineLevel="1">
      <c r="A901" s="60" t="s">
        <v>1242</v>
      </c>
      <c r="B901" s="61" t="b">
        <v>0</v>
      </c>
      <c r="C901" s="61" t="b">
        <v>0</v>
      </c>
      <c r="D901" s="62" t="s">
        <v>401</v>
      </c>
      <c r="E901" s="62" t="s">
        <v>595</v>
      </c>
      <c r="F901" s="62" t="s">
        <v>457</v>
      </c>
      <c r="G901" s="63"/>
      <c r="H901" s="159" t="b">
        <v>1</v>
      </c>
      <c r="I901" s="160"/>
      <c r="J901" s="161"/>
    </row>
    <row r="902" ht="57.0" hidden="1" customHeight="1" outlineLevel="1">
      <c r="A902" s="66" t="s">
        <v>1243</v>
      </c>
      <c r="B902" s="68" t="b">
        <v>0</v>
      </c>
      <c r="C902" s="68" t="b">
        <v>0</v>
      </c>
      <c r="D902" s="69" t="s">
        <v>49</v>
      </c>
      <c r="E902" s="69" t="s">
        <v>678</v>
      </c>
      <c r="F902" s="69" t="s">
        <v>457</v>
      </c>
      <c r="G902" s="70"/>
      <c r="H902" s="225" t="b">
        <v>1</v>
      </c>
      <c r="I902" s="160"/>
      <c r="J902" s="161"/>
    </row>
    <row r="903" ht="57.0" hidden="1" customHeight="1" outlineLevel="1">
      <c r="A903" s="60" t="s">
        <v>1244</v>
      </c>
      <c r="B903" s="61" t="b">
        <v>0</v>
      </c>
      <c r="C903" s="61" t="b">
        <v>0</v>
      </c>
      <c r="D903" s="62" t="s">
        <v>49</v>
      </c>
      <c r="E903" s="62" t="s">
        <v>798</v>
      </c>
      <c r="F903" s="62" t="s">
        <v>457</v>
      </c>
      <c r="G903" s="63"/>
      <c r="H903" s="159" t="b">
        <v>1</v>
      </c>
      <c r="I903" s="160"/>
      <c r="J903" s="161"/>
    </row>
    <row r="904" ht="57.0" hidden="1" customHeight="1" outlineLevel="1">
      <c r="A904" s="66" t="s">
        <v>1245</v>
      </c>
      <c r="B904" s="68" t="b">
        <v>0</v>
      </c>
      <c r="C904" s="68" t="b">
        <v>0</v>
      </c>
      <c r="D904" s="69" t="s">
        <v>49</v>
      </c>
      <c r="E904" s="69" t="s">
        <v>593</v>
      </c>
      <c r="F904" s="69" t="s">
        <v>457</v>
      </c>
      <c r="G904" s="70"/>
      <c r="H904" s="225" t="b">
        <v>1</v>
      </c>
      <c r="I904" s="160"/>
      <c r="J904" s="161"/>
    </row>
    <row r="905" ht="57.0" hidden="1" customHeight="1" outlineLevel="1">
      <c r="A905" s="60" t="s">
        <v>1246</v>
      </c>
      <c r="B905" s="61" t="b">
        <v>0</v>
      </c>
      <c r="C905" s="61" t="b">
        <v>0</v>
      </c>
      <c r="D905" s="62" t="s">
        <v>49</v>
      </c>
      <c r="E905" s="62" t="s">
        <v>571</v>
      </c>
      <c r="F905" s="62" t="s">
        <v>457</v>
      </c>
      <c r="G905" s="63"/>
      <c r="H905" s="159" t="b">
        <v>1</v>
      </c>
      <c r="I905" s="160"/>
      <c r="J905" s="161"/>
    </row>
    <row r="906" ht="57.0" hidden="1" customHeight="1" outlineLevel="1">
      <c r="A906" s="66" t="s">
        <v>1247</v>
      </c>
      <c r="B906" s="68" t="b">
        <v>0</v>
      </c>
      <c r="C906" s="68" t="b">
        <v>0</v>
      </c>
      <c r="D906" s="69" t="s">
        <v>401</v>
      </c>
      <c r="E906" s="69" t="s">
        <v>620</v>
      </c>
      <c r="F906" s="69" t="s">
        <v>457</v>
      </c>
      <c r="G906" s="70"/>
      <c r="H906" s="225" t="b">
        <v>1</v>
      </c>
      <c r="I906" s="160"/>
      <c r="J906" s="161"/>
    </row>
    <row r="907" ht="57.0" customHeight="1">
      <c r="A907" s="274" t="s">
        <v>1248</v>
      </c>
      <c r="B907" s="275" t="b">
        <v>0</v>
      </c>
      <c r="C907" s="275" t="b">
        <v>0</v>
      </c>
      <c r="D907" s="276" t="s">
        <v>425</v>
      </c>
      <c r="E907" s="276" t="s">
        <v>961</v>
      </c>
      <c r="F907" s="276" t="s">
        <v>457</v>
      </c>
      <c r="G907" s="277"/>
      <c r="H907" s="284" t="b">
        <v>0</v>
      </c>
      <c r="I907" s="160"/>
      <c r="J907" s="161"/>
    </row>
    <row r="908" ht="57.0" customHeight="1" collapsed="1">
      <c r="A908" s="60" t="s">
        <v>1249</v>
      </c>
      <c r="B908" s="61" t="b">
        <v>0</v>
      </c>
      <c r="C908" s="61" t="b">
        <v>0</v>
      </c>
      <c r="D908" s="62" t="s">
        <v>1250</v>
      </c>
      <c r="E908" s="62" t="s">
        <v>1251</v>
      </c>
      <c r="F908" s="62" t="s">
        <v>457</v>
      </c>
      <c r="G908" s="63" t="s">
        <v>1252</v>
      </c>
      <c r="H908" s="228" t="b">
        <v>0</v>
      </c>
      <c r="I908" s="160"/>
      <c r="J908" s="161"/>
    </row>
    <row r="909" ht="57.0" hidden="1" customHeight="1" outlineLevel="1">
      <c r="A909" s="60" t="s">
        <v>1253</v>
      </c>
      <c r="B909" s="61" t="b">
        <v>0</v>
      </c>
      <c r="C909" s="61" t="b">
        <v>0</v>
      </c>
      <c r="D909" s="62" t="s">
        <v>49</v>
      </c>
      <c r="E909" s="62" t="s">
        <v>464</v>
      </c>
      <c r="F909" s="62" t="s">
        <v>457</v>
      </c>
      <c r="G909" s="63"/>
      <c r="H909" s="103" t="b">
        <v>1</v>
      </c>
      <c r="I909" s="160"/>
      <c r="J909" s="161"/>
    </row>
    <row r="910" ht="57.0" hidden="1" customHeight="1" outlineLevel="1">
      <c r="A910" s="66" t="s">
        <v>1254</v>
      </c>
      <c r="B910" s="68" t="b">
        <v>0</v>
      </c>
      <c r="C910" s="68" t="b">
        <v>0</v>
      </c>
      <c r="D910" s="69" t="s">
        <v>49</v>
      </c>
      <c r="E910" s="69" t="s">
        <v>464</v>
      </c>
      <c r="F910" s="69" t="s">
        <v>457</v>
      </c>
      <c r="G910" s="70"/>
      <c r="H910" s="104" t="b">
        <v>1</v>
      </c>
      <c r="I910" s="160"/>
      <c r="J910" s="161"/>
    </row>
    <row r="911" ht="57.0" hidden="1" customHeight="1" outlineLevel="1">
      <c r="A911" s="60" t="s">
        <v>1255</v>
      </c>
      <c r="B911" s="61" t="b">
        <v>0</v>
      </c>
      <c r="C911" s="61" t="b">
        <v>0</v>
      </c>
      <c r="D911" s="62" t="s">
        <v>49</v>
      </c>
      <c r="E911" s="62" t="s">
        <v>464</v>
      </c>
      <c r="F911" s="62" t="s">
        <v>457</v>
      </c>
      <c r="G911" s="63"/>
      <c r="H911" s="103" t="b">
        <v>1</v>
      </c>
      <c r="I911" s="160"/>
      <c r="J911" s="161"/>
    </row>
    <row r="912" ht="57.0" hidden="1" customHeight="1" outlineLevel="1">
      <c r="A912" s="66" t="s">
        <v>1256</v>
      </c>
      <c r="B912" s="68" t="b">
        <v>0</v>
      </c>
      <c r="C912" s="68" t="b">
        <v>0</v>
      </c>
      <c r="D912" s="69" t="s">
        <v>49</v>
      </c>
      <c r="E912" s="69" t="s">
        <v>464</v>
      </c>
      <c r="F912" s="69" t="s">
        <v>457</v>
      </c>
      <c r="G912" s="70"/>
      <c r="H912" s="104" t="b">
        <v>1</v>
      </c>
      <c r="I912" s="160"/>
      <c r="J912" s="161"/>
    </row>
    <row r="913" ht="57.0" hidden="1" customHeight="1" outlineLevel="1">
      <c r="A913" s="60" t="s">
        <v>1257</v>
      </c>
      <c r="B913" s="61" t="b">
        <v>0</v>
      </c>
      <c r="C913" s="61" t="b">
        <v>0</v>
      </c>
      <c r="D913" s="62" t="s">
        <v>401</v>
      </c>
      <c r="E913" s="62" t="s">
        <v>464</v>
      </c>
      <c r="F913" s="62" t="s">
        <v>457</v>
      </c>
      <c r="G913" s="63"/>
      <c r="H913" s="103" t="b">
        <v>1</v>
      </c>
      <c r="I913" s="160"/>
      <c r="J913" s="161"/>
    </row>
    <row r="914" ht="57.0" customHeight="1" collapsed="1">
      <c r="A914" s="274" t="s">
        <v>1258</v>
      </c>
      <c r="B914" s="275" t="b">
        <v>0</v>
      </c>
      <c r="C914" s="275" t="b">
        <v>0</v>
      </c>
      <c r="D914" s="276" t="s">
        <v>1259</v>
      </c>
      <c r="E914" s="276" t="s">
        <v>1260</v>
      </c>
      <c r="F914" s="276" t="s">
        <v>457</v>
      </c>
      <c r="G914" s="277"/>
      <c r="H914" s="285" t="b">
        <v>0</v>
      </c>
      <c r="I914" s="160"/>
      <c r="J914" s="161"/>
    </row>
    <row r="915" ht="57.0" hidden="1" customHeight="1" outlineLevel="1">
      <c r="A915" s="60" t="s">
        <v>1261</v>
      </c>
      <c r="B915" s="61" t="b">
        <v>0</v>
      </c>
      <c r="C915" s="61" t="b">
        <v>0</v>
      </c>
      <c r="D915" s="62" t="s">
        <v>401</v>
      </c>
      <c r="E915" s="62" t="s">
        <v>1155</v>
      </c>
      <c r="F915" s="62" t="s">
        <v>457</v>
      </c>
      <c r="G915" s="63"/>
      <c r="H915" s="103" t="b">
        <v>1</v>
      </c>
      <c r="I915" s="160"/>
      <c r="J915" s="161"/>
    </row>
    <row r="916" ht="57.0" hidden="1" customHeight="1" outlineLevel="1">
      <c r="A916" s="66" t="s">
        <v>1262</v>
      </c>
      <c r="B916" s="68" t="b">
        <v>0</v>
      </c>
      <c r="C916" s="68" t="b">
        <v>0</v>
      </c>
      <c r="D916" s="69" t="s">
        <v>401</v>
      </c>
      <c r="E916" s="69" t="s">
        <v>1263</v>
      </c>
      <c r="F916" s="69" t="s">
        <v>457</v>
      </c>
      <c r="G916" s="70"/>
      <c r="H916" s="104" t="b">
        <v>1</v>
      </c>
      <c r="I916" s="160"/>
      <c r="J916" s="161"/>
    </row>
    <row r="917" ht="57.0" hidden="1" customHeight="1" outlineLevel="1">
      <c r="A917" s="60" t="s">
        <v>1264</v>
      </c>
      <c r="B917" s="61" t="b">
        <v>0</v>
      </c>
      <c r="C917" s="61" t="b">
        <v>0</v>
      </c>
      <c r="D917" s="62" t="s">
        <v>401</v>
      </c>
      <c r="E917" s="62" t="s">
        <v>798</v>
      </c>
      <c r="F917" s="62" t="s">
        <v>457</v>
      </c>
      <c r="G917" s="63"/>
      <c r="H917" s="103" t="b">
        <v>1</v>
      </c>
      <c r="I917" s="160"/>
      <c r="J917" s="161"/>
    </row>
    <row r="918" ht="57.0" hidden="1" customHeight="1" outlineLevel="1">
      <c r="A918" s="66" t="s">
        <v>1265</v>
      </c>
      <c r="B918" s="68" t="b">
        <v>0</v>
      </c>
      <c r="C918" s="68" t="b">
        <v>0</v>
      </c>
      <c r="D918" s="69" t="s">
        <v>401</v>
      </c>
      <c r="E918" s="69" t="s">
        <v>1203</v>
      </c>
      <c r="F918" s="69" t="s">
        <v>457</v>
      </c>
      <c r="G918" s="70"/>
      <c r="H918" s="104" t="b">
        <v>1</v>
      </c>
      <c r="I918" s="160"/>
      <c r="J918" s="161"/>
    </row>
    <row r="919" ht="57.0" hidden="1" customHeight="1" outlineLevel="1">
      <c r="A919" s="60" t="s">
        <v>1266</v>
      </c>
      <c r="B919" s="61" t="b">
        <v>0</v>
      </c>
      <c r="C919" s="61" t="b">
        <v>0</v>
      </c>
      <c r="D919" s="62" t="s">
        <v>49</v>
      </c>
      <c r="E919" s="62" t="s">
        <v>1267</v>
      </c>
      <c r="F919" s="62" t="s">
        <v>457</v>
      </c>
      <c r="G919" s="63"/>
      <c r="H919" s="103" t="b">
        <v>1</v>
      </c>
      <c r="I919" s="160"/>
      <c r="J919" s="161"/>
    </row>
    <row r="920" ht="57.0" hidden="1" customHeight="1" outlineLevel="1">
      <c r="A920" s="66" t="s">
        <v>1268</v>
      </c>
      <c r="B920" s="68" t="b">
        <v>0</v>
      </c>
      <c r="C920" s="68" t="b">
        <v>0</v>
      </c>
      <c r="D920" s="69" t="s">
        <v>49</v>
      </c>
      <c r="E920" s="69" t="s">
        <v>1151</v>
      </c>
      <c r="F920" s="69" t="s">
        <v>457</v>
      </c>
      <c r="G920" s="70"/>
      <c r="H920" s="104" t="b">
        <v>1</v>
      </c>
      <c r="I920" s="160"/>
      <c r="J920" s="161"/>
    </row>
    <row r="921" ht="57.0" hidden="1" customHeight="1" outlineLevel="1">
      <c r="A921" s="60" t="s">
        <v>1269</v>
      </c>
      <c r="B921" s="61" t="b">
        <v>0</v>
      </c>
      <c r="C921" s="61" t="b">
        <v>0</v>
      </c>
      <c r="D921" s="62" t="s">
        <v>49</v>
      </c>
      <c r="E921" s="62" t="s">
        <v>1203</v>
      </c>
      <c r="F921" s="62" t="s">
        <v>457</v>
      </c>
      <c r="G921" s="63"/>
      <c r="H921" s="103" t="b">
        <v>1</v>
      </c>
      <c r="I921" s="160"/>
      <c r="J921" s="161"/>
    </row>
    <row r="922" ht="57.0" hidden="1" customHeight="1" outlineLevel="1">
      <c r="A922" s="66" t="s">
        <v>1270</v>
      </c>
      <c r="B922" s="68" t="b">
        <v>0</v>
      </c>
      <c r="C922" s="68" t="b">
        <v>0</v>
      </c>
      <c r="D922" s="69" t="s">
        <v>49</v>
      </c>
      <c r="E922" s="69" t="s">
        <v>1203</v>
      </c>
      <c r="F922" s="69" t="s">
        <v>457</v>
      </c>
      <c r="G922" s="70"/>
      <c r="H922" s="104" t="b">
        <v>1</v>
      </c>
      <c r="I922" s="160"/>
      <c r="J922" s="161"/>
    </row>
    <row r="923" ht="57.0" hidden="1" customHeight="1" outlineLevel="1">
      <c r="A923" s="60" t="s">
        <v>1271</v>
      </c>
      <c r="B923" s="61" t="b">
        <v>0</v>
      </c>
      <c r="C923" s="61" t="b">
        <v>0</v>
      </c>
      <c r="D923" s="62" t="s">
        <v>401</v>
      </c>
      <c r="E923" s="62" t="s">
        <v>1155</v>
      </c>
      <c r="F923" s="62" t="s">
        <v>457</v>
      </c>
      <c r="G923" s="63"/>
      <c r="H923" s="103" t="b">
        <v>1</v>
      </c>
      <c r="I923" s="160"/>
      <c r="J923" s="161"/>
    </row>
    <row r="924" ht="57.0" customHeight="1">
      <c r="A924" s="60" t="s">
        <v>1272</v>
      </c>
      <c r="B924" s="61" t="b">
        <v>0</v>
      </c>
      <c r="C924" s="61" t="b">
        <v>0</v>
      </c>
      <c r="D924" s="62" t="s">
        <v>49</v>
      </c>
      <c r="E924" s="62" t="s">
        <v>588</v>
      </c>
      <c r="F924" s="62" t="s">
        <v>457</v>
      </c>
      <c r="G924" s="63" t="s">
        <v>1273</v>
      </c>
      <c r="H924" s="228" t="b">
        <v>0</v>
      </c>
      <c r="I924" s="160"/>
      <c r="J924" s="161"/>
    </row>
    <row r="925" ht="57.0" customHeight="1">
      <c r="A925" s="274" t="s">
        <v>1274</v>
      </c>
      <c r="B925" s="275" t="b">
        <v>0</v>
      </c>
      <c r="C925" s="275" t="b">
        <v>0</v>
      </c>
      <c r="D925" s="276" t="s">
        <v>401</v>
      </c>
      <c r="E925" s="276" t="s">
        <v>1275</v>
      </c>
      <c r="F925" s="276" t="s">
        <v>457</v>
      </c>
      <c r="G925" s="277"/>
      <c r="H925" s="286" t="b">
        <v>0</v>
      </c>
      <c r="I925" s="160"/>
      <c r="J925" s="161"/>
    </row>
    <row r="926" ht="57.0" customHeight="1">
      <c r="A926" s="112" t="s">
        <v>1276</v>
      </c>
      <c r="B926" s="113" t="b">
        <v>0</v>
      </c>
      <c r="C926" s="113" t="b">
        <v>0</v>
      </c>
      <c r="D926" s="114" t="s">
        <v>401</v>
      </c>
      <c r="E926" s="114" t="s">
        <v>551</v>
      </c>
      <c r="F926" s="114" t="s">
        <v>457</v>
      </c>
      <c r="G926" s="115"/>
      <c r="H926" s="287" t="b">
        <v>0</v>
      </c>
      <c r="I926" s="160"/>
      <c r="J926" s="161"/>
    </row>
    <row r="927" ht="31.5" customHeight="1">
      <c r="A927" s="173" t="str">
        <f> A275</f>
        <v>LEGEND: ⭐= Important / Major Impact | 📺= Series | 🍿= MCU Movie / Special | 🎬= Shortfilm/Oneshot | ⭕= Other Universe (Non-MCU)</v>
      </c>
      <c r="B927" s="174"/>
      <c r="C927" s="174"/>
      <c r="D927" s="174"/>
      <c r="E927" s="174"/>
      <c r="F927" s="174"/>
      <c r="G927" s="175"/>
      <c r="H927" s="125"/>
      <c r="I927" s="126"/>
      <c r="J927" s="126"/>
    </row>
    <row r="928" ht="31.5" customHeight="1">
      <c r="A928" s="127"/>
      <c r="B928" s="127"/>
      <c r="C928" s="127"/>
      <c r="D928" s="127"/>
      <c r="E928" s="127"/>
      <c r="F928" s="127"/>
      <c r="G928" s="127"/>
      <c r="H928" s="103"/>
      <c r="I928" s="126"/>
      <c r="J928" s="126"/>
    </row>
    <row r="929" ht="57.0" customHeight="1">
      <c r="A929" s="288" t="s">
        <v>1277</v>
      </c>
      <c r="B929" s="289"/>
      <c r="C929" s="289"/>
      <c r="D929" s="289"/>
      <c r="E929" s="289"/>
      <c r="F929" s="289"/>
      <c r="G929" s="289"/>
      <c r="H929" s="289"/>
      <c r="I929" s="289"/>
      <c r="J929" s="290"/>
    </row>
    <row r="930" ht="57.0" customHeight="1">
      <c r="A930" s="213" t="s">
        <v>1278</v>
      </c>
      <c r="B930" s="214" t="b">
        <v>0</v>
      </c>
      <c r="C930" s="214" t="b">
        <v>0</v>
      </c>
      <c r="D930" s="215" t="s">
        <v>425</v>
      </c>
      <c r="E930" s="215" t="s">
        <v>1279</v>
      </c>
      <c r="F930" s="215" t="s">
        <v>457</v>
      </c>
      <c r="G930" s="216"/>
      <c r="H930" s="103" t="b">
        <v>0</v>
      </c>
      <c r="I930" s="291" t="s">
        <v>1280</v>
      </c>
      <c r="J930" s="292">
        <f>IF(
    COUNTIFS(C930:C1034, FALSE, H930:H1034, FALSE) = 0,
    0,
    COUNTIFS(B930:B1034, TRUE, C930:C1034, FALSE, H930:H1034, FALSE) /
    COUNTIFS(C930:C1034, FALSE, H930:H1034, FALSE)
)</f>
        <v>0</v>
      </c>
    </row>
    <row r="931" ht="57.0" customHeight="1">
      <c r="A931" s="274" t="s">
        <v>1281</v>
      </c>
      <c r="B931" s="275" t="b">
        <v>0</v>
      </c>
      <c r="C931" s="275" t="b">
        <v>0</v>
      </c>
      <c r="D931" s="276" t="s">
        <v>425</v>
      </c>
      <c r="E931" s="276" t="s">
        <v>1282</v>
      </c>
      <c r="F931" s="276" t="s">
        <v>457</v>
      </c>
      <c r="G931" s="277"/>
      <c r="H931" s="293" t="b">
        <v>0</v>
      </c>
      <c r="I931" s="294" t="s">
        <v>1283</v>
      </c>
      <c r="J931" s="295">
        <f>COUNTIF(C930:C1034, TRUE) - COUNTIFS(C930:C1034, TRUE, A930:A1034,  " *")</f>
        <v>0</v>
      </c>
    </row>
    <row r="932" ht="57.0" customHeight="1">
      <c r="A932" s="60" t="s">
        <v>1284</v>
      </c>
      <c r="B932" s="61" t="b">
        <v>0</v>
      </c>
      <c r="C932" s="61" t="b">
        <v>0</v>
      </c>
      <c r="D932" s="62" t="s">
        <v>49</v>
      </c>
      <c r="E932" s="62" t="s">
        <v>1285</v>
      </c>
      <c r="F932" s="62" t="s">
        <v>1027</v>
      </c>
      <c r="G932" s="63"/>
      <c r="H932" s="103" t="b">
        <v>0</v>
      </c>
      <c r="I932" s="296" t="s">
        <v>110</v>
      </c>
      <c r="J932" s="297">
        <f>J31</f>
        <v>0</v>
      </c>
    </row>
    <row r="933" ht="57.0" customHeight="1" collapsed="1">
      <c r="A933" s="274" t="s">
        <v>1286</v>
      </c>
      <c r="B933" s="275" t="b">
        <v>0</v>
      </c>
      <c r="C933" s="275" t="b">
        <v>0</v>
      </c>
      <c r="D933" s="276" t="s">
        <v>49</v>
      </c>
      <c r="E933" s="276" t="s">
        <v>1287</v>
      </c>
      <c r="F933" s="276" t="s">
        <v>457</v>
      </c>
      <c r="G933" s="277"/>
      <c r="H933" s="278" t="b">
        <v>0</v>
      </c>
      <c r="I933" s="197" t="str">
        <f>image("https://m.media-amazon.com/images/I/91x7h3Nl1lL._AC_UF894,1000_QL80_.jpg")</f>
        <v>#REF!</v>
      </c>
    </row>
    <row r="934" ht="57.0" hidden="1" customHeight="1" outlineLevel="1">
      <c r="A934" s="60" t="s">
        <v>1288</v>
      </c>
      <c r="B934" s="61" t="b">
        <v>0</v>
      </c>
      <c r="C934" s="61" t="b">
        <v>0</v>
      </c>
      <c r="D934" s="62" t="s">
        <v>49</v>
      </c>
      <c r="E934" s="62" t="s">
        <v>585</v>
      </c>
      <c r="F934" s="62" t="s">
        <v>457</v>
      </c>
      <c r="G934" s="63"/>
      <c r="H934" s="53" t="b">
        <v>1</v>
      </c>
    </row>
    <row r="935" ht="57.0" hidden="1" customHeight="1" outlineLevel="1">
      <c r="A935" s="66" t="s">
        <v>1289</v>
      </c>
      <c r="B935" s="68" t="b">
        <v>0</v>
      </c>
      <c r="C935" s="68" t="b">
        <v>0</v>
      </c>
      <c r="D935" s="69" t="s">
        <v>49</v>
      </c>
      <c r="E935" s="69" t="s">
        <v>585</v>
      </c>
      <c r="F935" s="69" t="s">
        <v>457</v>
      </c>
      <c r="G935" s="70"/>
      <c r="H935" s="71" t="b">
        <v>1</v>
      </c>
    </row>
    <row r="936" ht="57.0" hidden="1" customHeight="1" outlineLevel="1">
      <c r="A936" s="60" t="s">
        <v>1290</v>
      </c>
      <c r="B936" s="61" t="b">
        <v>0</v>
      </c>
      <c r="C936" s="61" t="b">
        <v>0</v>
      </c>
      <c r="D936" s="62" t="s">
        <v>49</v>
      </c>
      <c r="E936" s="62" t="s">
        <v>539</v>
      </c>
      <c r="F936" s="62" t="s">
        <v>457</v>
      </c>
      <c r="G936" s="63"/>
      <c r="H936" s="53" t="b">
        <v>1</v>
      </c>
    </row>
    <row r="937" ht="57.0" hidden="1" customHeight="1" outlineLevel="1">
      <c r="A937" s="66" t="s">
        <v>1291</v>
      </c>
      <c r="B937" s="68" t="b">
        <v>0</v>
      </c>
      <c r="C937" s="68" t="b">
        <v>0</v>
      </c>
      <c r="D937" s="69" t="s">
        <v>49</v>
      </c>
      <c r="E937" s="69" t="s">
        <v>1149</v>
      </c>
      <c r="F937" s="69" t="s">
        <v>457</v>
      </c>
      <c r="G937" s="70"/>
      <c r="H937" s="71" t="b">
        <v>1</v>
      </c>
    </row>
    <row r="938" ht="57.0" hidden="1" customHeight="1" outlineLevel="1">
      <c r="A938" s="60" t="s">
        <v>1292</v>
      </c>
      <c r="B938" s="61" t="b">
        <v>0</v>
      </c>
      <c r="C938" s="61" t="b">
        <v>0</v>
      </c>
      <c r="D938" s="62" t="s">
        <v>49</v>
      </c>
      <c r="E938" s="62" t="s">
        <v>1190</v>
      </c>
      <c r="F938" s="62" t="s">
        <v>457</v>
      </c>
      <c r="G938" s="63"/>
      <c r="H938" s="53" t="b">
        <v>1</v>
      </c>
    </row>
    <row r="939" ht="57.0" hidden="1" customHeight="1" outlineLevel="1">
      <c r="A939" s="66" t="s">
        <v>1293</v>
      </c>
      <c r="B939" s="68" t="b">
        <v>0</v>
      </c>
      <c r="C939" s="68" t="b">
        <v>0</v>
      </c>
      <c r="D939" s="69" t="s">
        <v>49</v>
      </c>
      <c r="E939" s="69" t="s">
        <v>1151</v>
      </c>
      <c r="F939" s="69" t="s">
        <v>457</v>
      </c>
      <c r="G939" s="70"/>
      <c r="H939" s="71" t="b">
        <v>1</v>
      </c>
    </row>
    <row r="940" ht="57.0" customHeight="1">
      <c r="A940" s="60" t="s">
        <v>1294</v>
      </c>
      <c r="B940" s="61" t="b">
        <v>0</v>
      </c>
      <c r="C940" s="61" t="b">
        <v>0</v>
      </c>
      <c r="D940" s="62" t="s">
        <v>425</v>
      </c>
      <c r="E940" s="62" t="s">
        <v>1295</v>
      </c>
      <c r="F940" s="62" t="s">
        <v>457</v>
      </c>
      <c r="G940" s="63"/>
      <c r="H940" s="53" t="b">
        <v>0</v>
      </c>
    </row>
    <row r="941" ht="57.0" customHeight="1" collapsed="1">
      <c r="A941" s="274" t="s">
        <v>1296</v>
      </c>
      <c r="B941" s="275" t="b">
        <v>0</v>
      </c>
      <c r="C941" s="275" t="b">
        <v>0</v>
      </c>
      <c r="D941" s="276" t="s">
        <v>1297</v>
      </c>
      <c r="E941" s="276" t="s">
        <v>1298</v>
      </c>
      <c r="F941" s="276" t="s">
        <v>457</v>
      </c>
      <c r="G941" s="277" t="s">
        <v>1252</v>
      </c>
      <c r="H941" s="278" t="b">
        <v>0</v>
      </c>
    </row>
    <row r="942" ht="57.0" hidden="1" customHeight="1" outlineLevel="1">
      <c r="A942" s="60" t="s">
        <v>1299</v>
      </c>
      <c r="B942" s="61" t="b">
        <v>0</v>
      </c>
      <c r="C942" s="61" t="b">
        <v>0</v>
      </c>
      <c r="D942" s="62" t="s">
        <v>49</v>
      </c>
      <c r="E942" s="62" t="s">
        <v>750</v>
      </c>
      <c r="F942" s="62" t="s">
        <v>457</v>
      </c>
      <c r="G942" s="63"/>
      <c r="H942" s="53" t="b">
        <v>1</v>
      </c>
    </row>
    <row r="943" ht="57.0" hidden="1" customHeight="1" outlineLevel="1">
      <c r="A943" s="66" t="s">
        <v>1300</v>
      </c>
      <c r="B943" s="68" t="b">
        <v>0</v>
      </c>
      <c r="C943" s="68" t="b">
        <v>0</v>
      </c>
      <c r="D943" s="69" t="s">
        <v>49</v>
      </c>
      <c r="E943" s="69" t="s">
        <v>750</v>
      </c>
      <c r="F943" s="69" t="s">
        <v>457</v>
      </c>
      <c r="G943" s="70"/>
      <c r="H943" s="71" t="b">
        <v>1</v>
      </c>
    </row>
    <row r="944" ht="57.0" hidden="1" customHeight="1" outlineLevel="1">
      <c r="A944" s="60" t="s">
        <v>1301</v>
      </c>
      <c r="B944" s="61" t="b">
        <v>0</v>
      </c>
      <c r="C944" s="61" t="b">
        <v>0</v>
      </c>
      <c r="D944" s="62" t="s">
        <v>401</v>
      </c>
      <c r="E944" s="62" t="s">
        <v>750</v>
      </c>
      <c r="F944" s="62" t="s">
        <v>457</v>
      </c>
      <c r="G944" s="63"/>
      <c r="H944" s="53" t="b">
        <v>1</v>
      </c>
    </row>
    <row r="945" ht="57.0" hidden="1" customHeight="1" outlineLevel="1">
      <c r="A945" s="66" t="s">
        <v>1302</v>
      </c>
      <c r="B945" s="68" t="b">
        <v>0</v>
      </c>
      <c r="C945" s="68" t="b">
        <v>0</v>
      </c>
      <c r="D945" s="69" t="s">
        <v>49</v>
      </c>
      <c r="E945" s="69" t="s">
        <v>464</v>
      </c>
      <c r="F945" s="69" t="s">
        <v>457</v>
      </c>
      <c r="G945" s="70"/>
      <c r="H945" s="71" t="b">
        <v>1</v>
      </c>
    </row>
    <row r="946" ht="57.0" hidden="1" customHeight="1" outlineLevel="1">
      <c r="A946" s="60" t="s">
        <v>1303</v>
      </c>
      <c r="B946" s="61" t="b">
        <v>0</v>
      </c>
      <c r="C946" s="61" t="b">
        <v>0</v>
      </c>
      <c r="D946" s="62" t="s">
        <v>49</v>
      </c>
      <c r="E946" s="62" t="s">
        <v>464</v>
      </c>
      <c r="F946" s="62" t="s">
        <v>457</v>
      </c>
      <c r="G946" s="63"/>
      <c r="H946" s="53" t="b">
        <v>1</v>
      </c>
    </row>
    <row r="947" ht="57.0" customHeight="1" collapsed="1">
      <c r="A947" s="60" t="s">
        <v>1304</v>
      </c>
      <c r="B947" s="61" t="b">
        <v>0</v>
      </c>
      <c r="C947" s="61" t="b">
        <v>0</v>
      </c>
      <c r="D947" s="62" t="s">
        <v>1305</v>
      </c>
      <c r="E947" s="62" t="s">
        <v>1306</v>
      </c>
      <c r="F947" s="62" t="s">
        <v>1172</v>
      </c>
      <c r="G947" s="63"/>
      <c r="H947" s="53" t="b">
        <v>0</v>
      </c>
    </row>
    <row r="948" ht="57.0" hidden="1" customHeight="1" outlineLevel="1">
      <c r="A948" s="60" t="s">
        <v>1307</v>
      </c>
      <c r="B948" s="61" t="b">
        <v>0</v>
      </c>
      <c r="C948" s="61" t="b">
        <v>0</v>
      </c>
      <c r="D948" s="62" t="s">
        <v>401</v>
      </c>
      <c r="E948" s="62" t="s">
        <v>618</v>
      </c>
      <c r="F948" s="62" t="s">
        <v>1172</v>
      </c>
      <c r="G948" s="63"/>
      <c r="H948" s="53" t="b">
        <v>1</v>
      </c>
    </row>
    <row r="949" ht="57.0" hidden="1" customHeight="1" outlineLevel="1">
      <c r="A949" s="66" t="s">
        <v>1308</v>
      </c>
      <c r="B949" s="68" t="b">
        <v>0</v>
      </c>
      <c r="C949" s="68" t="b">
        <v>0</v>
      </c>
      <c r="D949" s="69" t="s">
        <v>49</v>
      </c>
      <c r="E949" s="69" t="s">
        <v>620</v>
      </c>
      <c r="F949" s="69" t="s">
        <v>1172</v>
      </c>
      <c r="G949" s="70"/>
      <c r="H949" s="71" t="b">
        <v>1</v>
      </c>
    </row>
    <row r="950" ht="57.0" hidden="1" customHeight="1" outlineLevel="1">
      <c r="A950" s="60" t="s">
        <v>1309</v>
      </c>
      <c r="B950" s="61" t="b">
        <v>0</v>
      </c>
      <c r="C950" s="61" t="b">
        <v>0</v>
      </c>
      <c r="D950" s="62" t="s">
        <v>49</v>
      </c>
      <c r="E950" s="62" t="s">
        <v>585</v>
      </c>
      <c r="F950" s="62" t="s">
        <v>1172</v>
      </c>
      <c r="G950" s="63"/>
      <c r="H950" s="53" t="b">
        <v>1</v>
      </c>
    </row>
    <row r="951" ht="57.0" hidden="1" customHeight="1" outlineLevel="1">
      <c r="A951" s="66" t="s">
        <v>1310</v>
      </c>
      <c r="B951" s="68" t="b">
        <v>0</v>
      </c>
      <c r="C951" s="68" t="b">
        <v>0</v>
      </c>
      <c r="D951" s="69" t="s">
        <v>49</v>
      </c>
      <c r="E951" s="69" t="s">
        <v>593</v>
      </c>
      <c r="F951" s="69" t="s">
        <v>1172</v>
      </c>
      <c r="G951" s="70"/>
      <c r="H951" s="71" t="b">
        <v>1</v>
      </c>
    </row>
    <row r="952" ht="57.0" hidden="1" customHeight="1" outlineLevel="1">
      <c r="A952" s="60" t="s">
        <v>1311</v>
      </c>
      <c r="B952" s="61" t="b">
        <v>0</v>
      </c>
      <c r="C952" s="61" t="b">
        <v>0</v>
      </c>
      <c r="D952" s="62" t="s">
        <v>49</v>
      </c>
      <c r="E952" s="62" t="s">
        <v>798</v>
      </c>
      <c r="F952" s="62" t="s">
        <v>1172</v>
      </c>
      <c r="G952" s="63"/>
      <c r="H952" s="53" t="b">
        <v>1</v>
      </c>
    </row>
    <row r="953" ht="57.0" hidden="1" customHeight="1" outlineLevel="1">
      <c r="A953" s="66" t="s">
        <v>1312</v>
      </c>
      <c r="B953" s="68" t="b">
        <v>0</v>
      </c>
      <c r="C953" s="68" t="b">
        <v>0</v>
      </c>
      <c r="D953" s="69" t="s">
        <v>49</v>
      </c>
      <c r="E953" s="69" t="s">
        <v>1151</v>
      </c>
      <c r="F953" s="69" t="s">
        <v>1172</v>
      </c>
      <c r="G953" s="70"/>
      <c r="H953" s="71" t="b">
        <v>1</v>
      </c>
    </row>
    <row r="954" ht="57.0" customHeight="1" collapsed="1">
      <c r="A954" s="274" t="s">
        <v>1313</v>
      </c>
      <c r="B954" s="275" t="b">
        <v>0</v>
      </c>
      <c r="C954" s="275" t="b">
        <v>0</v>
      </c>
      <c r="D954" s="276" t="s">
        <v>1170</v>
      </c>
      <c r="E954" s="276" t="s">
        <v>1314</v>
      </c>
      <c r="F954" s="276" t="s">
        <v>1315</v>
      </c>
      <c r="G954" s="277"/>
      <c r="H954" s="278" t="b">
        <v>0</v>
      </c>
    </row>
    <row r="955" ht="57.0" hidden="1" customHeight="1" outlineLevel="1">
      <c r="A955" s="60" t="s">
        <v>1316</v>
      </c>
      <c r="B955" s="61" t="b">
        <v>0</v>
      </c>
      <c r="C955" s="61" t="b">
        <v>0</v>
      </c>
      <c r="D955" s="62" t="s">
        <v>49</v>
      </c>
      <c r="E955" s="62" t="s">
        <v>1267</v>
      </c>
      <c r="F955" s="62" t="s">
        <v>1317</v>
      </c>
      <c r="G955" s="63"/>
      <c r="H955" s="53" t="b">
        <v>1</v>
      </c>
    </row>
    <row r="956" ht="57.0" hidden="1" customHeight="1" outlineLevel="1">
      <c r="A956" s="66" t="s">
        <v>1318</v>
      </c>
      <c r="B956" s="68" t="b">
        <v>0</v>
      </c>
      <c r="C956" s="68" t="b">
        <v>0</v>
      </c>
      <c r="D956" s="69" t="s">
        <v>49</v>
      </c>
      <c r="E956" s="69" t="s">
        <v>1206</v>
      </c>
      <c r="F956" s="69" t="s">
        <v>1319</v>
      </c>
      <c r="G956" s="70"/>
      <c r="H956" s="71" t="b">
        <v>1</v>
      </c>
    </row>
    <row r="957" ht="57.0" hidden="1" customHeight="1" outlineLevel="1">
      <c r="A957" s="60" t="s">
        <v>1320</v>
      </c>
      <c r="B957" s="61" t="b">
        <v>0</v>
      </c>
      <c r="C957" s="61" t="b">
        <v>0</v>
      </c>
      <c r="D957" s="62" t="s">
        <v>49</v>
      </c>
      <c r="E957" s="62" t="s">
        <v>1151</v>
      </c>
      <c r="F957" s="62" t="s">
        <v>1321</v>
      </c>
      <c r="G957" s="63"/>
      <c r="H957" s="53" t="b">
        <v>1</v>
      </c>
    </row>
    <row r="958" ht="57.0" hidden="1" customHeight="1" outlineLevel="1">
      <c r="A958" s="66" t="s">
        <v>1322</v>
      </c>
      <c r="B958" s="68" t="b">
        <v>0</v>
      </c>
      <c r="C958" s="68" t="b">
        <v>0</v>
      </c>
      <c r="D958" s="69" t="s">
        <v>401</v>
      </c>
      <c r="E958" s="69" t="s">
        <v>1267</v>
      </c>
      <c r="F958" s="69" t="s">
        <v>1323</v>
      </c>
      <c r="G958" s="70"/>
      <c r="H958" s="71" t="b">
        <v>1</v>
      </c>
    </row>
    <row r="959" ht="57.0" hidden="1" customHeight="1" outlineLevel="1">
      <c r="A959" s="60" t="s">
        <v>1324</v>
      </c>
      <c r="B959" s="61" t="b">
        <v>0</v>
      </c>
      <c r="C959" s="61" t="b">
        <v>0</v>
      </c>
      <c r="D959" s="62" t="s">
        <v>49</v>
      </c>
      <c r="E959" s="62" t="s">
        <v>1263</v>
      </c>
      <c r="F959" s="62" t="s">
        <v>1325</v>
      </c>
      <c r="G959" s="63"/>
      <c r="H959" s="53" t="b">
        <v>1</v>
      </c>
    </row>
    <row r="960" ht="57.0" hidden="1" customHeight="1" outlineLevel="1">
      <c r="A960" s="66" t="s">
        <v>1326</v>
      </c>
      <c r="B960" s="68" t="b">
        <v>0</v>
      </c>
      <c r="C960" s="68" t="b">
        <v>0</v>
      </c>
      <c r="D960" s="69" t="s">
        <v>49</v>
      </c>
      <c r="E960" s="69" t="s">
        <v>1190</v>
      </c>
      <c r="F960" s="69" t="s">
        <v>1327</v>
      </c>
      <c r="G960" s="70"/>
      <c r="H960" s="71" t="b">
        <v>1</v>
      </c>
    </row>
    <row r="961" ht="57.0" hidden="1" customHeight="1" outlineLevel="1">
      <c r="A961" s="60" t="s">
        <v>1328</v>
      </c>
      <c r="B961" s="61" t="b">
        <v>0</v>
      </c>
      <c r="C961" s="61" t="b">
        <v>0</v>
      </c>
      <c r="D961" s="62" t="s">
        <v>49</v>
      </c>
      <c r="E961" s="62" t="s">
        <v>1149</v>
      </c>
      <c r="F961" s="62" t="s">
        <v>1329</v>
      </c>
      <c r="G961" s="63"/>
      <c r="H961" s="53" t="b">
        <v>1</v>
      </c>
    </row>
    <row r="962" ht="57.0" hidden="1" customHeight="1" outlineLevel="1">
      <c r="A962" s="66" t="s">
        <v>1330</v>
      </c>
      <c r="B962" s="68" t="b">
        <v>0</v>
      </c>
      <c r="C962" s="68" t="b">
        <v>0</v>
      </c>
      <c r="D962" s="69" t="s">
        <v>49</v>
      </c>
      <c r="E962" s="69" t="s">
        <v>1263</v>
      </c>
      <c r="F962" s="69" t="s">
        <v>1331</v>
      </c>
      <c r="G962" s="70"/>
      <c r="H962" s="71" t="b">
        <v>1</v>
      </c>
    </row>
    <row r="963" ht="57.0" hidden="1" customHeight="1" outlineLevel="1">
      <c r="A963" s="60" t="s">
        <v>1332</v>
      </c>
      <c r="B963" s="61" t="b">
        <v>0</v>
      </c>
      <c r="C963" s="61" t="b">
        <v>0</v>
      </c>
      <c r="D963" s="62" t="s">
        <v>49</v>
      </c>
      <c r="E963" s="62" t="s">
        <v>1333</v>
      </c>
      <c r="F963" s="62" t="s">
        <v>1334</v>
      </c>
      <c r="G963" s="63"/>
      <c r="H963" s="53" t="b">
        <v>1</v>
      </c>
    </row>
    <row r="964" ht="57.0" customHeight="1" collapsed="1">
      <c r="A964" s="60" t="s">
        <v>1335</v>
      </c>
      <c r="B964" s="61" t="b">
        <v>0</v>
      </c>
      <c r="C964" s="61" t="b">
        <v>0</v>
      </c>
      <c r="D964" s="62" t="s">
        <v>1250</v>
      </c>
      <c r="E964" s="62" t="s">
        <v>1336</v>
      </c>
      <c r="F964" s="62" t="s">
        <v>457</v>
      </c>
      <c r="G964" s="63" t="s">
        <v>1337</v>
      </c>
      <c r="H964" s="53" t="b">
        <v>0</v>
      </c>
    </row>
    <row r="965" ht="57.0" hidden="1" customHeight="1" outlineLevel="1">
      <c r="A965" s="60" t="s">
        <v>1338</v>
      </c>
      <c r="B965" s="61" t="b">
        <v>0</v>
      </c>
      <c r="C965" s="61" t="b">
        <v>0</v>
      </c>
      <c r="D965" s="62" t="s">
        <v>49</v>
      </c>
      <c r="E965" s="62" t="s">
        <v>620</v>
      </c>
      <c r="F965" s="62" t="s">
        <v>457</v>
      </c>
      <c r="G965" s="63"/>
      <c r="H965" s="53" t="b">
        <v>1</v>
      </c>
      <c r="I965" s="193"/>
      <c r="J965" s="193"/>
    </row>
    <row r="966" ht="57.0" hidden="1" customHeight="1" outlineLevel="1">
      <c r="A966" s="66" t="s">
        <v>1339</v>
      </c>
      <c r="B966" s="68" t="b">
        <v>0</v>
      </c>
      <c r="C966" s="68" t="b">
        <v>0</v>
      </c>
      <c r="D966" s="69" t="s">
        <v>49</v>
      </c>
      <c r="E966" s="69" t="s">
        <v>573</v>
      </c>
      <c r="F966" s="69" t="s">
        <v>457</v>
      </c>
      <c r="G966" s="70"/>
      <c r="H966" s="71" t="b">
        <v>1</v>
      </c>
      <c r="I966" s="193"/>
      <c r="J966" s="193"/>
    </row>
    <row r="967" ht="57.0" hidden="1" customHeight="1" outlineLevel="1">
      <c r="A967" s="60" t="s">
        <v>1340</v>
      </c>
      <c r="B967" s="61" t="b">
        <v>0</v>
      </c>
      <c r="C967" s="61" t="b">
        <v>0</v>
      </c>
      <c r="D967" s="62" t="s">
        <v>49</v>
      </c>
      <c r="E967" s="62" t="s">
        <v>551</v>
      </c>
      <c r="F967" s="62" t="s">
        <v>457</v>
      </c>
      <c r="G967" s="63"/>
      <c r="H967" s="53" t="b">
        <v>1</v>
      </c>
      <c r="I967" s="193"/>
      <c r="J967" s="193"/>
    </row>
    <row r="968" ht="57.0" hidden="1" customHeight="1" outlineLevel="1">
      <c r="A968" s="66" t="s">
        <v>1341</v>
      </c>
      <c r="B968" s="68" t="b">
        <v>0</v>
      </c>
      <c r="C968" s="68" t="b">
        <v>0</v>
      </c>
      <c r="D968" s="69" t="s">
        <v>49</v>
      </c>
      <c r="E968" s="69" t="s">
        <v>430</v>
      </c>
      <c r="F968" s="69" t="s">
        <v>457</v>
      </c>
      <c r="G968" s="70"/>
      <c r="H968" s="71" t="b">
        <v>1</v>
      </c>
      <c r="I968" s="193"/>
      <c r="J968" s="193"/>
    </row>
    <row r="969" ht="57.0" hidden="1" customHeight="1" outlineLevel="1">
      <c r="A969" s="60" t="s">
        <v>1342</v>
      </c>
      <c r="B969" s="61" t="b">
        <v>0</v>
      </c>
      <c r="C969" s="61" t="b">
        <v>0</v>
      </c>
      <c r="D969" s="62" t="s">
        <v>401</v>
      </c>
      <c r="E969" s="62" t="s">
        <v>618</v>
      </c>
      <c r="F969" s="62" t="s">
        <v>457</v>
      </c>
      <c r="G969" s="63"/>
      <c r="H969" s="53" t="b">
        <v>1</v>
      </c>
      <c r="I969" s="193"/>
      <c r="J969" s="193"/>
    </row>
    <row r="970" ht="57.0" customHeight="1">
      <c r="A970" s="274" t="s">
        <v>1343</v>
      </c>
      <c r="B970" s="275" t="b">
        <v>0</v>
      </c>
      <c r="C970" s="275" t="b">
        <v>0</v>
      </c>
      <c r="D970" s="276" t="s">
        <v>49</v>
      </c>
      <c r="E970" s="276" t="s">
        <v>1344</v>
      </c>
      <c r="F970" s="276" t="s">
        <v>995</v>
      </c>
      <c r="G970" s="277"/>
      <c r="H970" s="278" t="b">
        <v>0</v>
      </c>
      <c r="I970" s="193"/>
      <c r="J970" s="193"/>
    </row>
    <row r="971" ht="57.0" customHeight="1">
      <c r="A971" s="60" t="s">
        <v>1345</v>
      </c>
      <c r="B971" s="61" t="b">
        <v>0</v>
      </c>
      <c r="C971" s="61" t="b">
        <v>0</v>
      </c>
      <c r="D971" s="62" t="s">
        <v>49</v>
      </c>
      <c r="E971" s="62" t="s">
        <v>1346</v>
      </c>
      <c r="F971" s="62" t="s">
        <v>1347</v>
      </c>
      <c r="G971" s="217" t="s">
        <v>1348</v>
      </c>
      <c r="H971" s="53" t="b">
        <v>0</v>
      </c>
      <c r="I971" s="193"/>
      <c r="J971" s="193"/>
    </row>
    <row r="972" ht="57.0" customHeight="1" collapsed="1">
      <c r="A972" s="274" t="s">
        <v>1349</v>
      </c>
      <c r="B972" s="275" t="b">
        <v>0</v>
      </c>
      <c r="C972" s="275" t="b">
        <v>0</v>
      </c>
      <c r="D972" s="276" t="s">
        <v>931</v>
      </c>
      <c r="E972" s="276" t="s">
        <v>1350</v>
      </c>
      <c r="F972" s="276" t="s">
        <v>53</v>
      </c>
      <c r="G972" s="298" t="s">
        <v>1351</v>
      </c>
      <c r="H972" s="278" t="b">
        <v>0</v>
      </c>
      <c r="I972" s="193"/>
      <c r="J972" s="193"/>
    </row>
    <row r="973" ht="57.0" hidden="1" customHeight="1" outlineLevel="1">
      <c r="A973" s="60" t="s">
        <v>1352</v>
      </c>
      <c r="B973" s="61" t="b">
        <v>0</v>
      </c>
      <c r="C973" s="61" t="b">
        <v>0</v>
      </c>
      <c r="D973" s="62" t="s">
        <v>49</v>
      </c>
      <c r="E973" s="62" t="s">
        <v>1151</v>
      </c>
      <c r="F973" s="62" t="s">
        <v>1353</v>
      </c>
      <c r="G973" s="63"/>
      <c r="H973" s="53" t="b">
        <v>1</v>
      </c>
      <c r="I973" s="193"/>
      <c r="J973" s="193"/>
    </row>
    <row r="974" ht="57.0" hidden="1" customHeight="1" outlineLevel="1">
      <c r="A974" s="66" t="s">
        <v>1354</v>
      </c>
      <c r="B974" s="68" t="b">
        <v>0</v>
      </c>
      <c r="C974" s="68" t="b">
        <v>0</v>
      </c>
      <c r="D974" s="69" t="s">
        <v>49</v>
      </c>
      <c r="E974" s="69" t="s">
        <v>1206</v>
      </c>
      <c r="F974" s="69" t="s">
        <v>1353</v>
      </c>
      <c r="G974" s="70"/>
      <c r="H974" s="71" t="b">
        <v>1</v>
      </c>
      <c r="I974" s="193"/>
      <c r="J974" s="193"/>
    </row>
    <row r="975" ht="57.0" hidden="1" customHeight="1" outlineLevel="1">
      <c r="A975" s="60" t="s">
        <v>1355</v>
      </c>
      <c r="B975" s="61" t="b">
        <v>0</v>
      </c>
      <c r="C975" s="61" t="b">
        <v>0</v>
      </c>
      <c r="D975" s="62" t="s">
        <v>49</v>
      </c>
      <c r="E975" s="62" t="s">
        <v>1190</v>
      </c>
      <c r="F975" s="62" t="s">
        <v>1353</v>
      </c>
      <c r="G975" s="63"/>
      <c r="H975" s="53" t="b">
        <v>1</v>
      </c>
      <c r="I975" s="193"/>
      <c r="J975" s="193"/>
    </row>
    <row r="976" ht="57.0" hidden="1" customHeight="1" outlineLevel="1">
      <c r="A976" s="66" t="s">
        <v>1356</v>
      </c>
      <c r="B976" s="68" t="b">
        <v>0</v>
      </c>
      <c r="C976" s="68" t="b">
        <v>0</v>
      </c>
      <c r="D976" s="69" t="s">
        <v>49</v>
      </c>
      <c r="E976" s="69" t="s">
        <v>1267</v>
      </c>
      <c r="F976" s="69" t="s">
        <v>1353</v>
      </c>
      <c r="G976" s="70"/>
      <c r="H976" s="71" t="b">
        <v>1</v>
      </c>
      <c r="I976" s="193"/>
      <c r="J976" s="193"/>
    </row>
    <row r="977" ht="57.0" hidden="1" customHeight="1" outlineLevel="1">
      <c r="A977" s="60" t="s">
        <v>1357</v>
      </c>
      <c r="B977" s="61" t="b">
        <v>0</v>
      </c>
      <c r="C977" s="61" t="b">
        <v>0</v>
      </c>
      <c r="D977" s="62" t="s">
        <v>49</v>
      </c>
      <c r="E977" s="62" t="s">
        <v>1190</v>
      </c>
      <c r="F977" s="62" t="s">
        <v>1353</v>
      </c>
      <c r="G977" s="63"/>
      <c r="H977" s="53" t="b">
        <v>1</v>
      </c>
      <c r="I977" s="193"/>
      <c r="J977" s="193"/>
    </row>
    <row r="978" ht="57.0" hidden="1" customHeight="1" outlineLevel="1">
      <c r="A978" s="66" t="s">
        <v>1358</v>
      </c>
      <c r="B978" s="68" t="b">
        <v>0</v>
      </c>
      <c r="C978" s="68" t="b">
        <v>0</v>
      </c>
      <c r="D978" s="69" t="s">
        <v>49</v>
      </c>
      <c r="E978" s="69" t="s">
        <v>1147</v>
      </c>
      <c r="F978" s="69" t="s">
        <v>1353</v>
      </c>
      <c r="G978" s="70"/>
      <c r="H978" s="71" t="b">
        <v>1</v>
      </c>
      <c r="I978" s="193"/>
      <c r="J978" s="193"/>
    </row>
    <row r="979" ht="57.0" hidden="1" customHeight="1" outlineLevel="1">
      <c r="A979" s="60" t="s">
        <v>1359</v>
      </c>
      <c r="B979" s="61" t="b">
        <v>0</v>
      </c>
      <c r="C979" s="61" t="b">
        <v>0</v>
      </c>
      <c r="D979" s="62" t="s">
        <v>49</v>
      </c>
      <c r="E979" s="62" t="s">
        <v>1263</v>
      </c>
      <c r="F979" s="62" t="s">
        <v>1353</v>
      </c>
      <c r="G979" s="63"/>
      <c r="H979" s="53" t="b">
        <v>1</v>
      </c>
      <c r="I979" s="193"/>
      <c r="J979" s="193"/>
    </row>
    <row r="980" ht="57.0" hidden="1" customHeight="1" outlineLevel="1">
      <c r="A980" s="66" t="s">
        <v>1360</v>
      </c>
      <c r="B980" s="68" t="b">
        <v>0</v>
      </c>
      <c r="C980" s="68" t="b">
        <v>0</v>
      </c>
      <c r="D980" s="69" t="s">
        <v>49</v>
      </c>
      <c r="E980" s="69" t="s">
        <v>1151</v>
      </c>
      <c r="F980" s="69" t="s">
        <v>1353</v>
      </c>
      <c r="G980" s="70"/>
      <c r="H980" s="71" t="b">
        <v>1</v>
      </c>
      <c r="I980" s="193"/>
      <c r="J980" s="193"/>
    </row>
    <row r="981" ht="57.0" hidden="1" customHeight="1" outlineLevel="1">
      <c r="A981" s="60" t="s">
        <v>1361</v>
      </c>
      <c r="B981" s="61" t="b">
        <v>0</v>
      </c>
      <c r="C981" s="61" t="b">
        <v>0</v>
      </c>
      <c r="D981" s="62" t="s">
        <v>49</v>
      </c>
      <c r="E981" s="62" t="s">
        <v>1206</v>
      </c>
      <c r="F981" s="62" t="s">
        <v>1353</v>
      </c>
      <c r="G981" s="63"/>
      <c r="H981" s="53" t="b">
        <v>1</v>
      </c>
      <c r="I981" s="193"/>
      <c r="J981" s="193"/>
    </row>
    <row r="982" ht="57.0" hidden="1" customHeight="1" outlineLevel="1">
      <c r="A982" s="66" t="s">
        <v>1362</v>
      </c>
      <c r="B982" s="68" t="b">
        <v>0</v>
      </c>
      <c r="C982" s="68" t="b">
        <v>0</v>
      </c>
      <c r="D982" s="69" t="s">
        <v>401</v>
      </c>
      <c r="E982" s="69" t="s">
        <v>1263</v>
      </c>
      <c r="F982" s="69" t="s">
        <v>1353</v>
      </c>
      <c r="G982" s="70"/>
      <c r="H982" s="71" t="b">
        <v>1</v>
      </c>
      <c r="I982" s="193"/>
      <c r="J982" s="193"/>
    </row>
    <row r="983" ht="57.0" customHeight="1">
      <c r="A983" s="60" t="s">
        <v>1363</v>
      </c>
      <c r="B983" s="61" t="b">
        <v>0</v>
      </c>
      <c r="C983" s="61" t="b">
        <v>0</v>
      </c>
      <c r="D983" s="62" t="s">
        <v>401</v>
      </c>
      <c r="E983" s="62" t="s">
        <v>1364</v>
      </c>
      <c r="F983" s="62" t="s">
        <v>1365</v>
      </c>
      <c r="G983" s="63"/>
      <c r="H983" s="53" t="b">
        <v>0</v>
      </c>
      <c r="I983" s="193"/>
      <c r="J983" s="193"/>
    </row>
    <row r="984" ht="57.0" customHeight="1" collapsed="1">
      <c r="A984" s="274" t="s">
        <v>1366</v>
      </c>
      <c r="B984" s="275" t="b">
        <v>0</v>
      </c>
      <c r="C984" s="275" t="b">
        <v>0</v>
      </c>
      <c r="D984" s="276" t="s">
        <v>49</v>
      </c>
      <c r="E984" s="276" t="s">
        <v>1367</v>
      </c>
      <c r="F984" s="276" t="s">
        <v>457</v>
      </c>
      <c r="G984" s="277" t="s">
        <v>1368</v>
      </c>
      <c r="H984" s="278" t="b">
        <v>0</v>
      </c>
      <c r="I984" s="193"/>
      <c r="J984" s="193"/>
    </row>
    <row r="985" ht="57.0" hidden="1" customHeight="1" outlineLevel="1">
      <c r="A985" s="60" t="s">
        <v>1369</v>
      </c>
      <c r="B985" s="61" t="b">
        <v>0</v>
      </c>
      <c r="C985" s="61" t="b">
        <v>0</v>
      </c>
      <c r="D985" s="62" t="s">
        <v>49</v>
      </c>
      <c r="E985" s="62" t="s">
        <v>620</v>
      </c>
      <c r="F985" s="62" t="s">
        <v>457</v>
      </c>
      <c r="G985" s="63"/>
      <c r="H985" s="53" t="b">
        <v>1</v>
      </c>
      <c r="I985" s="193"/>
      <c r="J985" s="193"/>
    </row>
    <row r="986" ht="57.0" hidden="1" customHeight="1" outlineLevel="1">
      <c r="A986" s="66" t="s">
        <v>1370</v>
      </c>
      <c r="B986" s="68" t="b">
        <v>0</v>
      </c>
      <c r="C986" s="68" t="b">
        <v>0</v>
      </c>
      <c r="D986" s="69" t="s">
        <v>49</v>
      </c>
      <c r="E986" s="69" t="s">
        <v>620</v>
      </c>
      <c r="F986" s="69" t="s">
        <v>457</v>
      </c>
      <c r="G986" s="70"/>
      <c r="H986" s="71" t="b">
        <v>1</v>
      </c>
      <c r="I986" s="193"/>
      <c r="J986" s="193"/>
    </row>
    <row r="987" ht="57.0" hidden="1" customHeight="1" outlineLevel="1">
      <c r="A987" s="60" t="s">
        <v>1371</v>
      </c>
      <c r="B987" s="61" t="b">
        <v>0</v>
      </c>
      <c r="C987" s="61" t="b">
        <v>0</v>
      </c>
      <c r="D987" s="62" t="s">
        <v>49</v>
      </c>
      <c r="E987" s="62" t="s">
        <v>798</v>
      </c>
      <c r="F987" s="62" t="s">
        <v>457</v>
      </c>
      <c r="G987" s="63"/>
      <c r="H987" s="53" t="b">
        <v>1</v>
      </c>
      <c r="I987" s="193"/>
      <c r="J987" s="193"/>
    </row>
    <row r="988" ht="57.0" hidden="1" customHeight="1" outlineLevel="1">
      <c r="A988" s="66" t="s">
        <v>1372</v>
      </c>
      <c r="B988" s="68" t="b">
        <v>0</v>
      </c>
      <c r="C988" s="68" t="b">
        <v>0</v>
      </c>
      <c r="D988" s="69" t="s">
        <v>49</v>
      </c>
      <c r="E988" s="69" t="s">
        <v>551</v>
      </c>
      <c r="F988" s="69" t="s">
        <v>457</v>
      </c>
      <c r="G988" s="70"/>
      <c r="H988" s="71" t="b">
        <v>1</v>
      </c>
      <c r="I988" s="193"/>
      <c r="J988" s="193"/>
    </row>
    <row r="989" ht="57.0" hidden="1" customHeight="1" outlineLevel="1">
      <c r="A989" s="60" t="s">
        <v>1373</v>
      </c>
      <c r="B989" s="61" t="b">
        <v>0</v>
      </c>
      <c r="C989" s="61" t="b">
        <v>0</v>
      </c>
      <c r="D989" s="62" t="s">
        <v>49</v>
      </c>
      <c r="E989" s="62" t="s">
        <v>539</v>
      </c>
      <c r="F989" s="62" t="s">
        <v>457</v>
      </c>
      <c r="G989" s="63"/>
      <c r="H989" s="53" t="b">
        <v>1</v>
      </c>
      <c r="I989" s="193"/>
      <c r="J989" s="193"/>
    </row>
    <row r="990" ht="57.0" hidden="1" customHeight="1" outlineLevel="1">
      <c r="A990" s="66" t="s">
        <v>1374</v>
      </c>
      <c r="B990" s="68" t="b">
        <v>0</v>
      </c>
      <c r="C990" s="68" t="b">
        <v>0</v>
      </c>
      <c r="D990" s="69" t="s">
        <v>49</v>
      </c>
      <c r="E990" s="69" t="s">
        <v>620</v>
      </c>
      <c r="F990" s="69" t="s">
        <v>457</v>
      </c>
      <c r="G990" s="70"/>
      <c r="H990" s="71" t="b">
        <v>1</v>
      </c>
      <c r="I990" s="193"/>
      <c r="J990" s="193"/>
    </row>
    <row r="991" ht="57.0" hidden="1" customHeight="1" outlineLevel="1">
      <c r="A991" s="60" t="s">
        <v>1375</v>
      </c>
      <c r="B991" s="61" t="b">
        <v>0</v>
      </c>
      <c r="C991" s="61" t="b">
        <v>0</v>
      </c>
      <c r="D991" s="62" t="s">
        <v>49</v>
      </c>
      <c r="E991" s="62" t="s">
        <v>595</v>
      </c>
      <c r="F991" s="62" t="s">
        <v>457</v>
      </c>
      <c r="G991" s="63"/>
      <c r="H991" s="53" t="b">
        <v>1</v>
      </c>
      <c r="I991" s="193"/>
      <c r="J991" s="193"/>
    </row>
    <row r="992" ht="57.0" hidden="1" customHeight="1" outlineLevel="1">
      <c r="A992" s="66" t="s">
        <v>1376</v>
      </c>
      <c r="B992" s="68" t="b">
        <v>0</v>
      </c>
      <c r="C992" s="68" t="b">
        <v>0</v>
      </c>
      <c r="D992" s="69" t="s">
        <v>49</v>
      </c>
      <c r="E992" s="69" t="s">
        <v>593</v>
      </c>
      <c r="F992" s="69" t="s">
        <v>457</v>
      </c>
      <c r="G992" s="70"/>
      <c r="H992" s="71" t="b">
        <v>1</v>
      </c>
      <c r="I992" s="193"/>
      <c r="J992" s="193"/>
    </row>
    <row r="993" ht="57.0" hidden="1" customHeight="1" outlineLevel="1">
      <c r="A993" s="60" t="s">
        <v>1377</v>
      </c>
      <c r="B993" s="61" t="b">
        <v>0</v>
      </c>
      <c r="C993" s="61" t="b">
        <v>0</v>
      </c>
      <c r="D993" s="62" t="s">
        <v>49</v>
      </c>
      <c r="E993" s="62" t="s">
        <v>798</v>
      </c>
      <c r="F993" s="62" t="s">
        <v>457</v>
      </c>
      <c r="G993" s="63"/>
      <c r="H993" s="53" t="b">
        <v>1</v>
      </c>
      <c r="I993" s="193"/>
      <c r="J993" s="193"/>
    </row>
    <row r="994" ht="57.0" customHeight="1">
      <c r="A994" s="60" t="s">
        <v>1378</v>
      </c>
      <c r="B994" s="61" t="b">
        <v>0</v>
      </c>
      <c r="C994" s="61" t="b">
        <v>0</v>
      </c>
      <c r="D994" s="62" t="s">
        <v>425</v>
      </c>
      <c r="E994" s="62" t="s">
        <v>1212</v>
      </c>
      <c r="F994" s="62" t="s">
        <v>995</v>
      </c>
      <c r="G994" s="63"/>
      <c r="H994" s="53" t="b">
        <v>0</v>
      </c>
      <c r="I994" s="193"/>
      <c r="J994" s="193"/>
    </row>
    <row r="995" ht="57.0" customHeight="1" collapsed="1">
      <c r="A995" s="274" t="s">
        <v>1379</v>
      </c>
      <c r="B995" s="275" t="b">
        <v>0</v>
      </c>
      <c r="C995" s="275" t="b">
        <v>0</v>
      </c>
      <c r="D995" s="276" t="s">
        <v>49</v>
      </c>
      <c r="E995" s="276" t="s">
        <v>1380</v>
      </c>
      <c r="F995" s="276" t="s">
        <v>1315</v>
      </c>
      <c r="G995" s="277"/>
      <c r="H995" s="284" t="b">
        <v>0</v>
      </c>
      <c r="I995" s="160"/>
      <c r="J995" s="161"/>
    </row>
    <row r="996" ht="57.0" hidden="1" customHeight="1" outlineLevel="1">
      <c r="A996" s="60" t="s">
        <v>1381</v>
      </c>
      <c r="B996" s="61" t="b">
        <v>0</v>
      </c>
      <c r="C996" s="61" t="b">
        <v>0</v>
      </c>
      <c r="D996" s="62" t="s">
        <v>49</v>
      </c>
      <c r="E996" s="62" t="s">
        <v>1151</v>
      </c>
      <c r="F996" s="62" t="s">
        <v>1382</v>
      </c>
      <c r="G996" s="63"/>
      <c r="H996" s="159" t="b">
        <v>1</v>
      </c>
      <c r="I996" s="160"/>
      <c r="J996" s="161"/>
    </row>
    <row r="997" ht="57.0" hidden="1" customHeight="1" outlineLevel="1">
      <c r="A997" s="66" t="s">
        <v>1383</v>
      </c>
      <c r="B997" s="68" t="b">
        <v>0</v>
      </c>
      <c r="C997" s="68" t="b">
        <v>0</v>
      </c>
      <c r="D997" s="69" t="s">
        <v>49</v>
      </c>
      <c r="E997" s="69" t="s">
        <v>1151</v>
      </c>
      <c r="F997" s="69" t="s">
        <v>1384</v>
      </c>
      <c r="G997" s="70"/>
      <c r="H997" s="225" t="b">
        <v>1</v>
      </c>
      <c r="I997" s="160"/>
      <c r="J997" s="161"/>
    </row>
    <row r="998" ht="57.0" hidden="1" customHeight="1" outlineLevel="1">
      <c r="A998" s="60" t="s">
        <v>1385</v>
      </c>
      <c r="B998" s="61" t="b">
        <v>0</v>
      </c>
      <c r="C998" s="61" t="b">
        <v>0</v>
      </c>
      <c r="D998" s="62" t="s">
        <v>49</v>
      </c>
      <c r="E998" s="62" t="s">
        <v>1267</v>
      </c>
      <c r="F998" s="62" t="s">
        <v>1386</v>
      </c>
      <c r="G998" s="63"/>
      <c r="H998" s="159" t="b">
        <v>1</v>
      </c>
      <c r="I998" s="160"/>
      <c r="J998" s="161"/>
    </row>
    <row r="999" ht="57.0" hidden="1" customHeight="1" outlineLevel="1">
      <c r="A999" s="66" t="s">
        <v>1387</v>
      </c>
      <c r="B999" s="68" t="b">
        <v>0</v>
      </c>
      <c r="C999" s="68" t="b">
        <v>0</v>
      </c>
      <c r="D999" s="69" t="s">
        <v>49</v>
      </c>
      <c r="E999" s="69" t="s">
        <v>1151</v>
      </c>
      <c r="F999" s="69" t="s">
        <v>1204</v>
      </c>
      <c r="G999" s="70"/>
      <c r="H999" s="225" t="b">
        <v>1</v>
      </c>
      <c r="I999" s="160"/>
      <c r="J999" s="161"/>
    </row>
    <row r="1000" ht="57.0" hidden="1" customHeight="1" outlineLevel="1">
      <c r="A1000" s="60" t="s">
        <v>1388</v>
      </c>
      <c r="B1000" s="61" t="b">
        <v>0</v>
      </c>
      <c r="C1000" s="61" t="b">
        <v>0</v>
      </c>
      <c r="D1000" s="62" t="s">
        <v>49</v>
      </c>
      <c r="E1000" s="62" t="s">
        <v>1151</v>
      </c>
      <c r="F1000" s="62" t="s">
        <v>1389</v>
      </c>
      <c r="G1000" s="63"/>
      <c r="H1000" s="159" t="b">
        <v>1</v>
      </c>
      <c r="I1000" s="160"/>
      <c r="J1000" s="161"/>
    </row>
    <row r="1001" ht="57.0" hidden="1" customHeight="1" outlineLevel="1">
      <c r="A1001" s="66" t="s">
        <v>1390</v>
      </c>
      <c r="B1001" s="68" t="b">
        <v>0</v>
      </c>
      <c r="C1001" s="68" t="b">
        <v>0</v>
      </c>
      <c r="D1001" s="69" t="s">
        <v>49</v>
      </c>
      <c r="E1001" s="69" t="s">
        <v>1151</v>
      </c>
      <c r="F1001" s="69" t="s">
        <v>1391</v>
      </c>
      <c r="G1001" s="70"/>
      <c r="H1001" s="225" t="b">
        <v>1</v>
      </c>
      <c r="I1001" s="160"/>
      <c r="J1001" s="161"/>
    </row>
    <row r="1002" ht="57.0" hidden="1" customHeight="1" outlineLevel="1">
      <c r="A1002" s="60" t="s">
        <v>1392</v>
      </c>
      <c r="B1002" s="61" t="b">
        <v>0</v>
      </c>
      <c r="C1002" s="61" t="b">
        <v>0</v>
      </c>
      <c r="D1002" s="62" t="s">
        <v>49</v>
      </c>
      <c r="E1002" s="62" t="s">
        <v>1190</v>
      </c>
      <c r="F1002" s="62" t="s">
        <v>1393</v>
      </c>
      <c r="G1002" s="63"/>
      <c r="H1002" s="159" t="b">
        <v>1</v>
      </c>
      <c r="I1002" s="160"/>
      <c r="J1002" s="161"/>
    </row>
    <row r="1003" ht="57.0" hidden="1" customHeight="1" outlineLevel="1">
      <c r="A1003" s="66" t="s">
        <v>1394</v>
      </c>
      <c r="B1003" s="68" t="b">
        <v>0</v>
      </c>
      <c r="C1003" s="68" t="b">
        <v>0</v>
      </c>
      <c r="D1003" s="69" t="s">
        <v>49</v>
      </c>
      <c r="E1003" s="69" t="s">
        <v>1263</v>
      </c>
      <c r="F1003" s="69" t="s">
        <v>1395</v>
      </c>
      <c r="G1003" s="70"/>
      <c r="H1003" s="225" t="b">
        <v>1</v>
      </c>
      <c r="I1003" s="160"/>
      <c r="J1003" s="161"/>
    </row>
    <row r="1004" ht="57.0" customHeight="1">
      <c r="A1004" s="60" t="s">
        <v>1396</v>
      </c>
      <c r="B1004" s="61" t="b">
        <v>0</v>
      </c>
      <c r="C1004" s="61" t="b">
        <v>0</v>
      </c>
      <c r="D1004" s="62" t="s">
        <v>49</v>
      </c>
      <c r="E1004" s="62" t="s">
        <v>398</v>
      </c>
      <c r="F1004" s="62" t="s">
        <v>995</v>
      </c>
      <c r="G1004" s="63"/>
      <c r="H1004" s="226" t="b">
        <v>0</v>
      </c>
      <c r="I1004" s="160"/>
      <c r="J1004" s="161"/>
    </row>
    <row r="1005" ht="57.0" customHeight="1" collapsed="1">
      <c r="A1005" s="274" t="s">
        <v>1397</v>
      </c>
      <c r="B1005" s="275" t="b">
        <v>0</v>
      </c>
      <c r="C1005" s="275" t="b">
        <v>0</v>
      </c>
      <c r="D1005" s="276" t="s">
        <v>49</v>
      </c>
      <c r="E1005" s="276" t="s">
        <v>1398</v>
      </c>
      <c r="F1005" s="276" t="s">
        <v>1399</v>
      </c>
      <c r="G1005" s="277" t="s">
        <v>1400</v>
      </c>
      <c r="H1005" s="285" t="b">
        <v>0</v>
      </c>
      <c r="I1005" s="160"/>
      <c r="J1005" s="161"/>
    </row>
    <row r="1006" ht="57.0" hidden="1" customHeight="1" outlineLevel="1">
      <c r="A1006" s="60" t="s">
        <v>1401</v>
      </c>
      <c r="B1006" s="61" t="b">
        <v>0</v>
      </c>
      <c r="C1006" s="61" t="b">
        <v>0</v>
      </c>
      <c r="D1006" s="62" t="s">
        <v>49</v>
      </c>
      <c r="E1006" s="62" t="s">
        <v>1402</v>
      </c>
      <c r="F1006" s="62" t="s">
        <v>1403</v>
      </c>
      <c r="G1006" s="63"/>
      <c r="H1006" s="103" t="b">
        <v>1</v>
      </c>
      <c r="I1006" s="160"/>
      <c r="J1006" s="161"/>
    </row>
    <row r="1007" ht="57.0" hidden="1" customHeight="1" outlineLevel="1">
      <c r="A1007" s="66" t="s">
        <v>1404</v>
      </c>
      <c r="B1007" s="68" t="b">
        <v>0</v>
      </c>
      <c r="C1007" s="68" t="b">
        <v>0</v>
      </c>
      <c r="D1007" s="69" t="s">
        <v>49</v>
      </c>
      <c r="E1007" s="69" t="s">
        <v>1405</v>
      </c>
      <c r="F1007" s="69" t="s">
        <v>1403</v>
      </c>
      <c r="G1007" s="70"/>
      <c r="H1007" s="104" t="b">
        <v>1</v>
      </c>
      <c r="I1007" s="160"/>
      <c r="J1007" s="161"/>
    </row>
    <row r="1008" ht="57.0" hidden="1" customHeight="1" outlineLevel="1">
      <c r="A1008" s="60" t="s">
        <v>1406</v>
      </c>
      <c r="B1008" s="61" t="b">
        <v>0</v>
      </c>
      <c r="C1008" s="61" t="b">
        <v>0</v>
      </c>
      <c r="D1008" s="62" t="s">
        <v>49</v>
      </c>
      <c r="E1008" s="62" t="s">
        <v>1407</v>
      </c>
      <c r="F1008" s="62" t="s">
        <v>1403</v>
      </c>
      <c r="G1008" s="63"/>
      <c r="H1008" s="103" t="b">
        <v>1</v>
      </c>
      <c r="I1008" s="160"/>
      <c r="J1008" s="161"/>
    </row>
    <row r="1009" ht="57.0" hidden="1" customHeight="1" outlineLevel="1">
      <c r="A1009" s="66" t="s">
        <v>1408</v>
      </c>
      <c r="B1009" s="68" t="b">
        <v>0</v>
      </c>
      <c r="C1009" s="68" t="b">
        <v>0</v>
      </c>
      <c r="D1009" s="69" t="s">
        <v>49</v>
      </c>
      <c r="E1009" s="69" t="s">
        <v>1333</v>
      </c>
      <c r="F1009" s="69" t="s">
        <v>1403</v>
      </c>
      <c r="G1009" s="70"/>
      <c r="H1009" s="104" t="b">
        <v>1</v>
      </c>
      <c r="I1009" s="160"/>
      <c r="J1009" s="161"/>
    </row>
    <row r="1010" ht="57.0" hidden="1" customHeight="1" outlineLevel="1">
      <c r="A1010" s="60" t="s">
        <v>1409</v>
      </c>
      <c r="B1010" s="61" t="b">
        <v>0</v>
      </c>
      <c r="C1010" s="61" t="b">
        <v>0</v>
      </c>
      <c r="D1010" s="62" t="s">
        <v>49</v>
      </c>
      <c r="E1010" s="62" t="s">
        <v>1407</v>
      </c>
      <c r="F1010" s="62" t="s">
        <v>1403</v>
      </c>
      <c r="G1010" s="63"/>
      <c r="H1010" s="103" t="b">
        <v>1</v>
      </c>
      <c r="I1010" s="160"/>
      <c r="J1010" s="161"/>
    </row>
    <row r="1011" ht="57.0" hidden="1" customHeight="1" outlineLevel="1">
      <c r="A1011" s="66" t="s">
        <v>1410</v>
      </c>
      <c r="B1011" s="68" t="b">
        <v>0</v>
      </c>
      <c r="C1011" s="68" t="b">
        <v>0</v>
      </c>
      <c r="D1011" s="69" t="s">
        <v>49</v>
      </c>
      <c r="E1011" s="69" t="s">
        <v>1407</v>
      </c>
      <c r="F1011" s="69" t="s">
        <v>1403</v>
      </c>
      <c r="G1011" s="70"/>
      <c r="H1011" s="104" t="b">
        <v>1</v>
      </c>
      <c r="I1011" s="160"/>
      <c r="J1011" s="161"/>
    </row>
    <row r="1012" ht="57.0" hidden="1" customHeight="1" outlineLevel="1">
      <c r="A1012" s="60" t="s">
        <v>1411</v>
      </c>
      <c r="B1012" s="61" t="b">
        <v>0</v>
      </c>
      <c r="C1012" s="61" t="b">
        <v>0</v>
      </c>
      <c r="D1012" s="62" t="s">
        <v>49</v>
      </c>
      <c r="E1012" s="62" t="s">
        <v>1407</v>
      </c>
      <c r="F1012" s="62" t="s">
        <v>1403</v>
      </c>
      <c r="G1012" s="63"/>
      <c r="H1012" s="103" t="b">
        <v>1</v>
      </c>
      <c r="I1012" s="160"/>
      <c r="J1012" s="161"/>
    </row>
    <row r="1013" ht="57.0" hidden="1" customHeight="1" outlineLevel="1">
      <c r="A1013" s="66" t="s">
        <v>1412</v>
      </c>
      <c r="B1013" s="68" t="b">
        <v>0</v>
      </c>
      <c r="C1013" s="68" t="b">
        <v>0</v>
      </c>
      <c r="D1013" s="69" t="s">
        <v>49</v>
      </c>
      <c r="E1013" s="69" t="s">
        <v>1333</v>
      </c>
      <c r="F1013" s="69" t="s">
        <v>1403</v>
      </c>
      <c r="G1013" s="70"/>
      <c r="H1013" s="104" t="b">
        <v>1</v>
      </c>
      <c r="I1013" s="160"/>
      <c r="J1013" s="161"/>
    </row>
    <row r="1014" ht="57.0" hidden="1" customHeight="1" outlineLevel="1">
      <c r="A1014" s="60" t="s">
        <v>1413</v>
      </c>
      <c r="B1014" s="61" t="b">
        <v>0</v>
      </c>
      <c r="C1014" s="61" t="b">
        <v>0</v>
      </c>
      <c r="D1014" s="62" t="s">
        <v>49</v>
      </c>
      <c r="E1014" s="62" t="s">
        <v>1407</v>
      </c>
      <c r="F1014" s="62" t="s">
        <v>1403</v>
      </c>
      <c r="G1014" s="63"/>
      <c r="H1014" s="103" t="b">
        <v>1</v>
      </c>
      <c r="I1014" s="160"/>
      <c r="J1014" s="161"/>
    </row>
    <row r="1015" ht="57.0" hidden="1" customHeight="1" outlineLevel="1">
      <c r="A1015" s="66" t="s">
        <v>1414</v>
      </c>
      <c r="B1015" s="68" t="b">
        <v>0</v>
      </c>
      <c r="C1015" s="68" t="b">
        <v>0</v>
      </c>
      <c r="D1015" s="69" t="s">
        <v>49</v>
      </c>
      <c r="E1015" s="69" t="s">
        <v>1147</v>
      </c>
      <c r="F1015" s="69" t="s">
        <v>1403</v>
      </c>
      <c r="G1015" s="70"/>
      <c r="H1015" s="104" t="b">
        <v>1</v>
      </c>
      <c r="I1015" s="160"/>
      <c r="J1015" s="161"/>
    </row>
    <row r="1016" ht="57.0" customHeight="1">
      <c r="A1016" s="60" t="s">
        <v>1415</v>
      </c>
      <c r="B1016" s="61" t="b">
        <v>0</v>
      </c>
      <c r="C1016" s="61" t="b">
        <v>0</v>
      </c>
      <c r="D1016" s="62" t="s">
        <v>401</v>
      </c>
      <c r="E1016" s="62" t="s">
        <v>961</v>
      </c>
      <c r="F1016" s="62" t="s">
        <v>457</v>
      </c>
      <c r="G1016" s="63"/>
      <c r="H1016" s="228" t="b">
        <v>0</v>
      </c>
      <c r="I1016" s="160"/>
      <c r="J1016" s="161"/>
    </row>
    <row r="1017" ht="57.0" customHeight="1" collapsed="1">
      <c r="A1017" s="274" t="s">
        <v>1416</v>
      </c>
      <c r="B1017" s="275" t="b">
        <v>0</v>
      </c>
      <c r="C1017" s="275" t="b">
        <v>0</v>
      </c>
      <c r="D1017" s="276" t="s">
        <v>1185</v>
      </c>
      <c r="E1017" s="276" t="s">
        <v>1417</v>
      </c>
      <c r="F1017" s="276" t="s">
        <v>457</v>
      </c>
      <c r="G1017" s="277"/>
      <c r="H1017" s="285" t="b">
        <v>0</v>
      </c>
      <c r="I1017" s="160"/>
      <c r="J1017" s="161"/>
    </row>
    <row r="1018" ht="57.0" hidden="1" customHeight="1" outlineLevel="1">
      <c r="A1018" s="60" t="s">
        <v>1418</v>
      </c>
      <c r="B1018" s="61" t="b">
        <v>0</v>
      </c>
      <c r="C1018" s="61" t="b">
        <v>0</v>
      </c>
      <c r="D1018" s="62" t="s">
        <v>49</v>
      </c>
      <c r="E1018" s="62" t="s">
        <v>598</v>
      </c>
      <c r="F1018" s="62" t="s">
        <v>457</v>
      </c>
      <c r="G1018" s="63"/>
      <c r="H1018" s="210" t="b">
        <v>1</v>
      </c>
      <c r="I1018" s="160"/>
      <c r="J1018" s="161"/>
    </row>
    <row r="1019" ht="57.0" hidden="1" customHeight="1" outlineLevel="1">
      <c r="A1019" s="66" t="s">
        <v>1419</v>
      </c>
      <c r="B1019" s="68" t="b">
        <v>0</v>
      </c>
      <c r="C1019" s="68" t="b">
        <v>0</v>
      </c>
      <c r="D1019" s="69" t="s">
        <v>49</v>
      </c>
      <c r="E1019" s="69" t="s">
        <v>798</v>
      </c>
      <c r="F1019" s="69" t="s">
        <v>457</v>
      </c>
      <c r="G1019" s="70"/>
      <c r="H1019" s="229" t="b">
        <v>1</v>
      </c>
      <c r="I1019" s="160"/>
      <c r="J1019" s="161"/>
    </row>
    <row r="1020" ht="57.0" hidden="1" customHeight="1" outlineLevel="1">
      <c r="A1020" s="60" t="s">
        <v>1420</v>
      </c>
      <c r="B1020" s="61" t="b">
        <v>0</v>
      </c>
      <c r="C1020" s="61" t="b">
        <v>0</v>
      </c>
      <c r="D1020" s="62" t="s">
        <v>49</v>
      </c>
      <c r="E1020" s="62" t="s">
        <v>430</v>
      </c>
      <c r="F1020" s="62" t="s">
        <v>457</v>
      </c>
      <c r="G1020" s="63"/>
      <c r="H1020" s="210" t="b">
        <v>1</v>
      </c>
      <c r="I1020" s="160"/>
      <c r="J1020" s="161"/>
    </row>
    <row r="1021" ht="57.0" hidden="1" customHeight="1" outlineLevel="1">
      <c r="A1021" s="66" t="s">
        <v>1421</v>
      </c>
      <c r="B1021" s="68" t="b">
        <v>0</v>
      </c>
      <c r="C1021" s="68" t="b">
        <v>0</v>
      </c>
      <c r="D1021" s="69" t="s">
        <v>49</v>
      </c>
      <c r="E1021" s="69" t="s">
        <v>588</v>
      </c>
      <c r="F1021" s="69" t="s">
        <v>457</v>
      </c>
      <c r="G1021" s="70"/>
      <c r="H1021" s="229" t="b">
        <v>1</v>
      </c>
      <c r="I1021" s="160"/>
      <c r="J1021" s="161"/>
    </row>
    <row r="1022" ht="57.0" hidden="1" customHeight="1" outlineLevel="1">
      <c r="A1022" s="60" t="s">
        <v>1422</v>
      </c>
      <c r="B1022" s="61" t="b">
        <v>0</v>
      </c>
      <c r="C1022" s="61" t="b">
        <v>0</v>
      </c>
      <c r="D1022" s="62" t="s">
        <v>49</v>
      </c>
      <c r="E1022" s="62" t="s">
        <v>573</v>
      </c>
      <c r="F1022" s="62" t="s">
        <v>457</v>
      </c>
      <c r="G1022" s="63"/>
      <c r="H1022" s="210" t="b">
        <v>1</v>
      </c>
      <c r="I1022" s="160"/>
      <c r="J1022" s="161"/>
    </row>
    <row r="1023" ht="57.0" hidden="1" customHeight="1" outlineLevel="1">
      <c r="A1023" s="66" t="s">
        <v>1423</v>
      </c>
      <c r="B1023" s="68" t="b">
        <v>0</v>
      </c>
      <c r="C1023" s="68" t="b">
        <v>0</v>
      </c>
      <c r="D1023" s="69" t="s">
        <v>49</v>
      </c>
      <c r="E1023" s="69" t="s">
        <v>551</v>
      </c>
      <c r="F1023" s="69" t="s">
        <v>457</v>
      </c>
      <c r="G1023" s="70"/>
      <c r="H1023" s="229" t="b">
        <v>1</v>
      </c>
      <c r="I1023" s="160"/>
      <c r="J1023" s="161"/>
    </row>
    <row r="1024" ht="57.0" hidden="1" customHeight="1" outlineLevel="1">
      <c r="A1024" s="60" t="s">
        <v>1424</v>
      </c>
      <c r="B1024" s="61" t="b">
        <v>0</v>
      </c>
      <c r="C1024" s="61" t="b">
        <v>0</v>
      </c>
      <c r="D1024" s="62" t="s">
        <v>49</v>
      </c>
      <c r="E1024" s="62" t="s">
        <v>571</v>
      </c>
      <c r="F1024" s="62" t="s">
        <v>457</v>
      </c>
      <c r="G1024" s="63"/>
      <c r="H1024" s="210" t="b">
        <v>1</v>
      </c>
      <c r="I1024" s="160"/>
      <c r="J1024" s="161"/>
    </row>
    <row r="1025" ht="57.0" hidden="1" customHeight="1" outlineLevel="1">
      <c r="A1025" s="66" t="s">
        <v>1425</v>
      </c>
      <c r="B1025" s="68" t="b">
        <v>0</v>
      </c>
      <c r="C1025" s="68" t="b">
        <v>0</v>
      </c>
      <c r="D1025" s="69" t="s">
        <v>49</v>
      </c>
      <c r="E1025" s="69" t="s">
        <v>798</v>
      </c>
      <c r="F1025" s="69" t="s">
        <v>457</v>
      </c>
      <c r="G1025" s="70"/>
      <c r="H1025" s="229" t="b">
        <v>1</v>
      </c>
      <c r="I1025" s="160"/>
      <c r="J1025" s="161"/>
    </row>
    <row r="1026" ht="57.0" hidden="1" customHeight="1" outlineLevel="1">
      <c r="A1026" s="60" t="s">
        <v>1426</v>
      </c>
      <c r="B1026" s="61" t="b">
        <v>0</v>
      </c>
      <c r="C1026" s="61" t="b">
        <v>0</v>
      </c>
      <c r="D1026" s="62" t="s">
        <v>401</v>
      </c>
      <c r="E1026" s="62" t="s">
        <v>600</v>
      </c>
      <c r="F1026" s="62" t="s">
        <v>457</v>
      </c>
      <c r="G1026" s="63"/>
      <c r="H1026" s="210" t="b">
        <v>1</v>
      </c>
      <c r="I1026" s="160"/>
      <c r="J1026" s="161"/>
    </row>
    <row r="1027" ht="57.0" customHeight="1">
      <c r="A1027" s="60" t="s">
        <v>1427</v>
      </c>
      <c r="B1027" s="61" t="b">
        <v>0</v>
      </c>
      <c r="C1027" s="61" t="b">
        <v>0</v>
      </c>
      <c r="D1027" s="62" t="s">
        <v>425</v>
      </c>
      <c r="E1027" s="62" t="s">
        <v>456</v>
      </c>
      <c r="F1027" s="62" t="s">
        <v>457</v>
      </c>
      <c r="G1027" s="63" t="s">
        <v>1428</v>
      </c>
      <c r="H1027" s="230" t="b">
        <v>0</v>
      </c>
      <c r="I1027" s="160"/>
      <c r="J1027" s="161"/>
    </row>
    <row r="1028" ht="57.0" customHeight="1" collapsed="1">
      <c r="A1028" s="299" t="s">
        <v>1429</v>
      </c>
      <c r="B1028" s="300" t="b">
        <v>0</v>
      </c>
      <c r="C1028" s="300" t="b">
        <v>0</v>
      </c>
      <c r="D1028" s="301" t="s">
        <v>1216</v>
      </c>
      <c r="E1028" s="301" t="s">
        <v>1430</v>
      </c>
      <c r="F1028" s="301" t="s">
        <v>457</v>
      </c>
      <c r="G1028" s="302"/>
      <c r="H1028" s="303" t="b">
        <v>0</v>
      </c>
      <c r="I1028" s="160"/>
      <c r="J1028" s="161"/>
    </row>
    <row r="1029" ht="57.0" hidden="1" customHeight="1" outlineLevel="1">
      <c r="A1029" s="304" t="s">
        <v>1431</v>
      </c>
      <c r="B1029" s="305" t="b">
        <v>0</v>
      </c>
      <c r="C1029" s="305" t="b">
        <v>0</v>
      </c>
      <c r="D1029" s="306" t="s">
        <v>49</v>
      </c>
      <c r="E1029" s="307" t="s">
        <v>662</v>
      </c>
      <c r="F1029" s="51" t="s">
        <v>457</v>
      </c>
      <c r="G1029" s="308"/>
      <c r="H1029" s="210" t="b">
        <v>1</v>
      </c>
      <c r="I1029" s="126"/>
      <c r="J1029" s="126"/>
    </row>
    <row r="1030" ht="57.0" hidden="1" customHeight="1" outlineLevel="1">
      <c r="A1030" s="309" t="s">
        <v>1432</v>
      </c>
      <c r="B1030" s="310" t="b">
        <v>0</v>
      </c>
      <c r="C1030" s="310" t="b">
        <v>0</v>
      </c>
      <c r="D1030" s="311" t="s">
        <v>49</v>
      </c>
      <c r="E1030" s="312" t="s">
        <v>593</v>
      </c>
      <c r="F1030" s="69" t="s">
        <v>457</v>
      </c>
      <c r="G1030" s="313"/>
      <c r="H1030" s="229" t="b">
        <v>1</v>
      </c>
      <c r="I1030" s="126"/>
      <c r="J1030" s="126"/>
    </row>
    <row r="1031" ht="57.0" hidden="1" customHeight="1" outlineLevel="1">
      <c r="A1031" s="314" t="s">
        <v>1433</v>
      </c>
      <c r="B1031" s="315" t="b">
        <v>0</v>
      </c>
      <c r="C1031" s="315" t="b">
        <v>0</v>
      </c>
      <c r="D1031" s="316" t="s">
        <v>49</v>
      </c>
      <c r="E1031" s="317" t="s">
        <v>585</v>
      </c>
      <c r="F1031" s="62" t="s">
        <v>457</v>
      </c>
      <c r="G1031" s="318"/>
      <c r="H1031" s="210" t="b">
        <v>1</v>
      </c>
      <c r="I1031" s="126"/>
      <c r="J1031" s="126"/>
    </row>
    <row r="1032" ht="57.0" hidden="1" customHeight="1" outlineLevel="1">
      <c r="A1032" s="309" t="s">
        <v>1434</v>
      </c>
      <c r="B1032" s="310" t="b">
        <v>0</v>
      </c>
      <c r="C1032" s="310" t="b">
        <v>0</v>
      </c>
      <c r="D1032" s="311" t="s">
        <v>49</v>
      </c>
      <c r="E1032" s="312" t="s">
        <v>595</v>
      </c>
      <c r="F1032" s="69" t="s">
        <v>457</v>
      </c>
      <c r="G1032" s="313"/>
      <c r="H1032" s="249" t="b">
        <v>1</v>
      </c>
      <c r="I1032" s="126"/>
      <c r="J1032" s="126"/>
    </row>
    <row r="1033" ht="57.0" hidden="1" customHeight="1" outlineLevel="1">
      <c r="A1033" s="314" t="s">
        <v>1435</v>
      </c>
      <c r="B1033" s="315" t="b">
        <v>0</v>
      </c>
      <c r="C1033" s="315" t="b">
        <v>0</v>
      </c>
      <c r="D1033" s="316" t="s">
        <v>49</v>
      </c>
      <c r="E1033" s="317" t="s">
        <v>600</v>
      </c>
      <c r="F1033" s="62" t="s">
        <v>457</v>
      </c>
      <c r="G1033" s="318"/>
      <c r="H1033" s="192" t="b">
        <v>1</v>
      </c>
      <c r="I1033" s="126"/>
      <c r="J1033" s="126"/>
    </row>
    <row r="1034" ht="57.0" hidden="1" customHeight="1" outlineLevel="1">
      <c r="A1034" s="319" t="s">
        <v>1436</v>
      </c>
      <c r="B1034" s="320" t="b">
        <v>0</v>
      </c>
      <c r="C1034" s="320" t="b">
        <v>0</v>
      </c>
      <c r="D1034" s="321" t="s">
        <v>401</v>
      </c>
      <c r="E1034" s="322" t="s">
        <v>571</v>
      </c>
      <c r="F1034" s="323" t="s">
        <v>457</v>
      </c>
      <c r="G1034" s="324"/>
      <c r="H1034" s="325" t="b">
        <v>1</v>
      </c>
      <c r="I1034" s="126"/>
      <c r="J1034" s="126"/>
    </row>
    <row r="1035" ht="31.5" customHeight="1">
      <c r="A1035" s="173" t="str">
        <f> A275</f>
        <v>LEGEND: ⭐= Important / Major Impact | 📺= Series | 🍿= MCU Movie / Special | 🎬= Shortfilm/Oneshot | ⭕= Other Universe (Non-MCU)</v>
      </c>
      <c r="B1035" s="174"/>
      <c r="C1035" s="174"/>
      <c r="D1035" s="174"/>
      <c r="E1035" s="174"/>
      <c r="F1035" s="174"/>
      <c r="G1035" s="175"/>
      <c r="H1035" s="125"/>
      <c r="I1035" s="126"/>
      <c r="J1035" s="126"/>
    </row>
    <row r="1036" ht="31.5" customHeight="1">
      <c r="A1036" s="127"/>
      <c r="B1036" s="127"/>
      <c r="C1036" s="127"/>
      <c r="D1036" s="127"/>
      <c r="E1036" s="127"/>
      <c r="F1036" s="127"/>
      <c r="G1036" s="127"/>
      <c r="H1036" s="103"/>
      <c r="I1036" s="126"/>
      <c r="J1036" s="126"/>
    </row>
    <row r="1037" ht="57.0" customHeight="1">
      <c r="A1037" s="288" t="s">
        <v>1437</v>
      </c>
      <c r="B1037" s="289"/>
      <c r="C1037" s="289"/>
      <c r="D1037" s="289"/>
      <c r="E1037" s="289"/>
      <c r="F1037" s="289"/>
      <c r="G1037" s="289"/>
      <c r="H1037" s="289"/>
      <c r="I1037" s="289"/>
      <c r="J1037" s="290"/>
    </row>
    <row r="1038" ht="57.0" customHeight="1">
      <c r="A1038" s="213" t="s">
        <v>1438</v>
      </c>
      <c r="B1038" s="214" t="b">
        <v>0</v>
      </c>
      <c r="C1038" s="214" t="b">
        <v>0</v>
      </c>
      <c r="D1038" s="215" t="s">
        <v>425</v>
      </c>
      <c r="E1038" s="215" t="s">
        <v>476</v>
      </c>
      <c r="F1038" s="215" t="s">
        <v>1439</v>
      </c>
      <c r="G1038" s="216"/>
      <c r="H1038" s="103" t="b">
        <v>0</v>
      </c>
      <c r="I1038" s="291" t="s">
        <v>1440</v>
      </c>
      <c r="J1038" s="292">
        <f>IF(
    COUNTIFS(C1038:C1087, FALSE, H1038:H1087, FALSE) = 0,
    0,
    COUNTIFS(B1038:B1087, TRUE, C1038:C1087, FALSE, H1038:H1087, FALSE) /
    COUNTIFS(C1038:C1087, FALSE, H1038:H1087, FALSE)
)</f>
        <v>0</v>
      </c>
    </row>
    <row r="1039" ht="57.0" customHeight="1" collapsed="1">
      <c r="A1039" s="274" t="s">
        <v>1441</v>
      </c>
      <c r="B1039" s="275" t="b">
        <v>0</v>
      </c>
      <c r="C1039" s="275" t="b">
        <v>0</v>
      </c>
      <c r="D1039" s="276" t="s">
        <v>49</v>
      </c>
      <c r="E1039" s="326" t="s">
        <v>1442</v>
      </c>
      <c r="F1039" s="326" t="s">
        <v>1443</v>
      </c>
      <c r="G1039" s="327" t="s">
        <v>1444</v>
      </c>
      <c r="H1039" s="293" t="b">
        <v>0</v>
      </c>
      <c r="I1039" s="294" t="s">
        <v>1445</v>
      </c>
      <c r="J1039" s="295">
        <f>COUNTIF(C1038:C1114,TRUE) - COUNTIFS(C1038:C1114,TRUE,A1038:A1114," *")</f>
        <v>0</v>
      </c>
    </row>
    <row r="1040" ht="57.0" hidden="1" customHeight="1" outlineLevel="1">
      <c r="A1040" s="60" t="s">
        <v>1446</v>
      </c>
      <c r="B1040" s="61" t="b">
        <v>0</v>
      </c>
      <c r="C1040" s="61" t="b">
        <v>0</v>
      </c>
      <c r="D1040" s="62" t="s">
        <v>49</v>
      </c>
      <c r="E1040" s="200" t="s">
        <v>1147</v>
      </c>
      <c r="F1040" s="200" t="s">
        <v>1443</v>
      </c>
      <c r="G1040" s="328"/>
      <c r="H1040" s="103" t="b">
        <v>1</v>
      </c>
      <c r="I1040" s="329" t="s">
        <v>110</v>
      </c>
      <c r="J1040" s="330">
        <f>J31</f>
        <v>0</v>
      </c>
    </row>
    <row r="1041" ht="57.0" hidden="1" customHeight="1" outlineLevel="1">
      <c r="A1041" s="66" t="s">
        <v>1447</v>
      </c>
      <c r="B1041" s="68" t="b">
        <v>0</v>
      </c>
      <c r="C1041" s="68" t="b">
        <v>0</v>
      </c>
      <c r="D1041" s="69" t="s">
        <v>49</v>
      </c>
      <c r="E1041" s="203" t="s">
        <v>1206</v>
      </c>
      <c r="F1041" s="203" t="s">
        <v>1443</v>
      </c>
      <c r="G1041" s="331"/>
      <c r="H1041" s="104" t="b">
        <v>1</v>
      </c>
      <c r="I1041" s="332"/>
      <c r="J1041" s="333"/>
    </row>
    <row r="1042" ht="57.0" hidden="1" customHeight="1" outlineLevel="1">
      <c r="A1042" s="60" t="s">
        <v>1448</v>
      </c>
      <c r="B1042" s="61" t="b">
        <v>0</v>
      </c>
      <c r="C1042" s="61" t="b">
        <v>0</v>
      </c>
      <c r="D1042" s="62" t="s">
        <v>49</v>
      </c>
      <c r="E1042" s="200" t="s">
        <v>1147</v>
      </c>
      <c r="F1042" s="200" t="s">
        <v>1443</v>
      </c>
      <c r="G1042" s="328"/>
      <c r="H1042" s="103" t="b">
        <v>1</v>
      </c>
      <c r="I1042" s="332"/>
      <c r="J1042" s="333"/>
    </row>
    <row r="1043" ht="57.0" hidden="1" customHeight="1" outlineLevel="1">
      <c r="A1043" s="66" t="s">
        <v>1449</v>
      </c>
      <c r="B1043" s="68" t="b">
        <v>0</v>
      </c>
      <c r="C1043" s="68" t="b">
        <v>0</v>
      </c>
      <c r="D1043" s="69" t="s">
        <v>49</v>
      </c>
      <c r="E1043" s="203" t="s">
        <v>1206</v>
      </c>
      <c r="F1043" s="203" t="s">
        <v>1443</v>
      </c>
      <c r="G1043" s="331"/>
      <c r="H1043" s="104" t="b">
        <v>1</v>
      </c>
      <c r="I1043" s="332"/>
      <c r="J1043" s="333"/>
    </row>
    <row r="1044" ht="57.0" customHeight="1" collapsed="1">
      <c r="A1044" s="60" t="s">
        <v>1450</v>
      </c>
      <c r="B1044" s="61" t="b">
        <v>0</v>
      </c>
      <c r="C1044" s="61" t="b">
        <v>0</v>
      </c>
      <c r="D1044" s="62" t="s">
        <v>49</v>
      </c>
      <c r="E1044" s="62" t="s">
        <v>1451</v>
      </c>
      <c r="F1044" s="62" t="s">
        <v>1452</v>
      </c>
      <c r="G1044" s="334" t="s">
        <v>1453</v>
      </c>
      <c r="H1044" s="103" t="b">
        <v>0</v>
      </c>
      <c r="I1044" s="296" t="s">
        <v>110</v>
      </c>
      <c r="J1044" s="297">
        <f>J31</f>
        <v>0</v>
      </c>
    </row>
    <row r="1045" ht="57.0" hidden="1" customHeight="1" outlineLevel="1">
      <c r="A1045" s="60" t="s">
        <v>1454</v>
      </c>
      <c r="B1045" s="61" t="b">
        <v>0</v>
      </c>
      <c r="C1045" s="61" t="b">
        <v>0</v>
      </c>
      <c r="D1045" s="62" t="s">
        <v>49</v>
      </c>
      <c r="E1045" s="62" t="s">
        <v>1267</v>
      </c>
      <c r="F1045" s="62" t="s">
        <v>1455</v>
      </c>
      <c r="G1045" s="328"/>
      <c r="H1045" s="53" t="b">
        <v>1</v>
      </c>
      <c r="I1045" s="197"/>
      <c r="J1045" s="197"/>
    </row>
    <row r="1046" ht="57.0" hidden="1" customHeight="1" outlineLevel="1">
      <c r="A1046" s="66" t="s">
        <v>1456</v>
      </c>
      <c r="B1046" s="68" t="b">
        <v>0</v>
      </c>
      <c r="C1046" s="68" t="b">
        <v>0</v>
      </c>
      <c r="D1046" s="69" t="s">
        <v>49</v>
      </c>
      <c r="E1046" s="69" t="s">
        <v>1206</v>
      </c>
      <c r="F1046" s="69" t="s">
        <v>1455</v>
      </c>
      <c r="G1046" s="331"/>
      <c r="H1046" s="71" t="b">
        <v>1</v>
      </c>
      <c r="I1046" s="197"/>
      <c r="J1046" s="197"/>
    </row>
    <row r="1047" ht="57.0" hidden="1" customHeight="1" outlineLevel="1">
      <c r="A1047" s="60" t="s">
        <v>1457</v>
      </c>
      <c r="B1047" s="61" t="b">
        <v>0</v>
      </c>
      <c r="C1047" s="61" t="b">
        <v>0</v>
      </c>
      <c r="D1047" s="62" t="s">
        <v>49</v>
      </c>
      <c r="E1047" s="62" t="s">
        <v>1147</v>
      </c>
      <c r="F1047" s="62" t="s">
        <v>1455</v>
      </c>
      <c r="G1047" s="328"/>
      <c r="H1047" s="53" t="b">
        <v>1</v>
      </c>
      <c r="I1047" s="197"/>
      <c r="J1047" s="197"/>
    </row>
    <row r="1048" ht="57.0" hidden="1" customHeight="1" outlineLevel="1">
      <c r="A1048" s="66" t="s">
        <v>1458</v>
      </c>
      <c r="B1048" s="68" t="b">
        <v>0</v>
      </c>
      <c r="C1048" s="68" t="b">
        <v>0</v>
      </c>
      <c r="D1048" s="69" t="s">
        <v>49</v>
      </c>
      <c r="E1048" s="69" t="s">
        <v>1333</v>
      </c>
      <c r="F1048" s="69" t="s">
        <v>1455</v>
      </c>
      <c r="G1048" s="331"/>
      <c r="H1048" s="71" t="b">
        <v>1</v>
      </c>
      <c r="I1048" s="197"/>
      <c r="J1048" s="197"/>
    </row>
    <row r="1049" ht="57.0" customHeight="1" collapsed="1">
      <c r="A1049" s="274" t="s">
        <v>1459</v>
      </c>
      <c r="B1049" s="275" t="b">
        <v>0</v>
      </c>
      <c r="C1049" s="275" t="b">
        <v>0</v>
      </c>
      <c r="D1049" s="276" t="s">
        <v>49</v>
      </c>
      <c r="E1049" s="276" t="s">
        <v>1460</v>
      </c>
      <c r="F1049" s="276" t="s">
        <v>457</v>
      </c>
      <c r="G1049" s="327" t="s">
        <v>1461</v>
      </c>
      <c r="H1049" s="278" t="b">
        <v>0</v>
      </c>
      <c r="I1049" s="335" t="str">
        <f>image("https://m.media-amazon.com/images/I/71tlAZgcXsL._AC_UF894,1000_QL80_.jpg")</f>
        <v>#REF!</v>
      </c>
    </row>
    <row r="1050" ht="57.0" hidden="1" customHeight="1" outlineLevel="1">
      <c r="A1050" s="60" t="s">
        <v>1462</v>
      </c>
      <c r="B1050" s="61" t="b">
        <v>0</v>
      </c>
      <c r="C1050" s="61" t="b">
        <v>0</v>
      </c>
      <c r="D1050" s="62" t="s">
        <v>49</v>
      </c>
      <c r="E1050" s="62" t="s">
        <v>1263</v>
      </c>
      <c r="F1050" s="62" t="s">
        <v>457</v>
      </c>
      <c r="G1050" s="328"/>
      <c r="H1050" s="53" t="b">
        <v>1</v>
      </c>
    </row>
    <row r="1051" ht="57.0" hidden="1" customHeight="1" outlineLevel="1">
      <c r="A1051" s="66" t="s">
        <v>1463</v>
      </c>
      <c r="B1051" s="68" t="b">
        <v>0</v>
      </c>
      <c r="C1051" s="68" t="b">
        <v>0</v>
      </c>
      <c r="D1051" s="69" t="s">
        <v>49</v>
      </c>
      <c r="E1051" s="69" t="s">
        <v>1263</v>
      </c>
      <c r="F1051" s="69" t="s">
        <v>457</v>
      </c>
      <c r="G1051" s="331"/>
      <c r="H1051" s="71" t="b">
        <v>1</v>
      </c>
    </row>
    <row r="1052" ht="57.0" hidden="1" customHeight="1" outlineLevel="1">
      <c r="A1052" s="60" t="s">
        <v>1464</v>
      </c>
      <c r="B1052" s="61" t="b">
        <v>0</v>
      </c>
      <c r="C1052" s="61" t="b">
        <v>0</v>
      </c>
      <c r="D1052" s="62" t="s">
        <v>49</v>
      </c>
      <c r="E1052" s="62" t="s">
        <v>1263</v>
      </c>
      <c r="F1052" s="62" t="s">
        <v>457</v>
      </c>
      <c r="G1052" s="328"/>
      <c r="H1052" s="53" t="b">
        <v>1</v>
      </c>
    </row>
    <row r="1053" ht="57.0" hidden="1" customHeight="1" outlineLevel="1">
      <c r="A1053" s="66" t="s">
        <v>1465</v>
      </c>
      <c r="B1053" s="68" t="b">
        <v>0</v>
      </c>
      <c r="C1053" s="68" t="b">
        <v>0</v>
      </c>
      <c r="D1053" s="69" t="s">
        <v>49</v>
      </c>
      <c r="E1053" s="69" t="s">
        <v>1147</v>
      </c>
      <c r="F1053" s="69" t="s">
        <v>457</v>
      </c>
      <c r="G1053" s="331"/>
      <c r="H1053" s="71" t="b">
        <v>1</v>
      </c>
    </row>
    <row r="1054" ht="57.0" hidden="1" customHeight="1" outlineLevel="1">
      <c r="A1054" s="60" t="s">
        <v>1466</v>
      </c>
      <c r="B1054" s="61" t="b">
        <v>0</v>
      </c>
      <c r="C1054" s="61" t="b">
        <v>0</v>
      </c>
      <c r="D1054" s="62" t="s">
        <v>49</v>
      </c>
      <c r="E1054" s="62" t="s">
        <v>1467</v>
      </c>
      <c r="F1054" s="62" t="s">
        <v>457</v>
      </c>
      <c r="G1054" s="328"/>
      <c r="H1054" s="53" t="b">
        <v>1</v>
      </c>
    </row>
    <row r="1055" ht="57.0" hidden="1" customHeight="1" outlineLevel="1">
      <c r="A1055" s="66" t="s">
        <v>1468</v>
      </c>
      <c r="B1055" s="68" t="b">
        <v>0</v>
      </c>
      <c r="C1055" s="68" t="b">
        <v>0</v>
      </c>
      <c r="D1055" s="69" t="s">
        <v>49</v>
      </c>
      <c r="E1055" s="69" t="s">
        <v>1190</v>
      </c>
      <c r="F1055" s="69" t="s">
        <v>457</v>
      </c>
      <c r="G1055" s="331"/>
      <c r="H1055" s="71" t="b">
        <v>1</v>
      </c>
    </row>
    <row r="1056" ht="57.0" hidden="1" customHeight="1" outlineLevel="1">
      <c r="A1056" s="60" t="s">
        <v>1469</v>
      </c>
      <c r="B1056" s="61" t="b">
        <v>0</v>
      </c>
      <c r="C1056" s="61" t="b">
        <v>0</v>
      </c>
      <c r="D1056" s="62" t="s">
        <v>49</v>
      </c>
      <c r="E1056" s="62" t="s">
        <v>1151</v>
      </c>
      <c r="F1056" s="62" t="s">
        <v>457</v>
      </c>
      <c r="G1056" s="328"/>
      <c r="H1056" s="53" t="b">
        <v>1</v>
      </c>
    </row>
    <row r="1057" ht="57.0" hidden="1" customHeight="1" outlineLevel="1">
      <c r="A1057" s="66" t="s">
        <v>1470</v>
      </c>
      <c r="B1057" s="68" t="b">
        <v>0</v>
      </c>
      <c r="C1057" s="68" t="b">
        <v>0</v>
      </c>
      <c r="D1057" s="69" t="s">
        <v>49</v>
      </c>
      <c r="E1057" s="69" t="s">
        <v>1263</v>
      </c>
      <c r="F1057" s="69" t="s">
        <v>457</v>
      </c>
      <c r="G1057" s="331"/>
      <c r="H1057" s="71" t="b">
        <v>1</v>
      </c>
    </row>
    <row r="1058" ht="57.0" customHeight="1" collapsed="1">
      <c r="A1058" s="49" t="s">
        <v>1471</v>
      </c>
      <c r="B1058" s="61" t="b">
        <v>0</v>
      </c>
      <c r="C1058" s="61" t="b">
        <v>0</v>
      </c>
      <c r="D1058" s="62" t="s">
        <v>49</v>
      </c>
      <c r="E1058" s="62" t="s">
        <v>1472</v>
      </c>
      <c r="F1058" s="62" t="s">
        <v>457</v>
      </c>
      <c r="G1058" s="328"/>
      <c r="H1058" s="53" t="b">
        <v>0</v>
      </c>
    </row>
    <row r="1059" ht="57.0" hidden="1" customHeight="1" outlineLevel="1">
      <c r="A1059" s="49" t="s">
        <v>1473</v>
      </c>
      <c r="B1059" s="61" t="b">
        <v>0</v>
      </c>
      <c r="C1059" s="61" t="b">
        <v>0</v>
      </c>
      <c r="D1059" s="62" t="s">
        <v>49</v>
      </c>
      <c r="E1059" s="62" t="s">
        <v>678</v>
      </c>
      <c r="F1059" s="62" t="s">
        <v>457</v>
      </c>
      <c r="G1059" s="328"/>
      <c r="H1059" s="53" t="b">
        <v>1</v>
      </c>
    </row>
    <row r="1060" ht="57.0" hidden="1" customHeight="1" outlineLevel="1">
      <c r="A1060" s="336" t="s">
        <v>1474</v>
      </c>
      <c r="B1060" s="68" t="b">
        <v>0</v>
      </c>
      <c r="C1060" s="68" t="b">
        <v>0</v>
      </c>
      <c r="D1060" s="69" t="s">
        <v>49</v>
      </c>
      <c r="E1060" s="69" t="s">
        <v>628</v>
      </c>
      <c r="F1060" s="69" t="s">
        <v>457</v>
      </c>
      <c r="G1060" s="331"/>
      <c r="H1060" s="71" t="b">
        <v>1</v>
      </c>
    </row>
    <row r="1061" ht="57.0" hidden="1" customHeight="1" outlineLevel="1">
      <c r="A1061" s="49" t="s">
        <v>1475</v>
      </c>
      <c r="B1061" s="61" t="b">
        <v>0</v>
      </c>
      <c r="C1061" s="61" t="b">
        <v>0</v>
      </c>
      <c r="D1061" s="62" t="s">
        <v>49</v>
      </c>
      <c r="E1061" s="62" t="s">
        <v>798</v>
      </c>
      <c r="F1061" s="62" t="s">
        <v>457</v>
      </c>
      <c r="G1061" s="328"/>
      <c r="H1061" s="53" t="b">
        <v>1</v>
      </c>
    </row>
    <row r="1062" ht="57.0" hidden="1" customHeight="1" outlineLevel="1">
      <c r="A1062" s="336" t="s">
        <v>1476</v>
      </c>
      <c r="B1062" s="68" t="b">
        <v>0</v>
      </c>
      <c r="C1062" s="68" t="b">
        <v>0</v>
      </c>
      <c r="D1062" s="69" t="s">
        <v>49</v>
      </c>
      <c r="E1062" s="69" t="s">
        <v>678</v>
      </c>
      <c r="F1062" s="69" t="s">
        <v>457</v>
      </c>
      <c r="G1062" s="331"/>
      <c r="H1062" s="71" t="b">
        <v>1</v>
      </c>
    </row>
    <row r="1063" ht="57.0" hidden="1" customHeight="1" outlineLevel="1">
      <c r="A1063" s="49" t="s">
        <v>1477</v>
      </c>
      <c r="B1063" s="61" t="b">
        <v>0</v>
      </c>
      <c r="C1063" s="61" t="b">
        <v>0</v>
      </c>
      <c r="D1063" s="62" t="s">
        <v>49</v>
      </c>
      <c r="E1063" s="62" t="s">
        <v>595</v>
      </c>
      <c r="F1063" s="62" t="s">
        <v>457</v>
      </c>
      <c r="G1063" s="328"/>
      <c r="H1063" s="53" t="b">
        <v>1</v>
      </c>
    </row>
    <row r="1064" ht="57.0" hidden="1" customHeight="1" outlineLevel="1">
      <c r="A1064" s="336" t="s">
        <v>1478</v>
      </c>
      <c r="B1064" s="68" t="b">
        <v>0</v>
      </c>
      <c r="C1064" s="68" t="b">
        <v>0</v>
      </c>
      <c r="D1064" s="69" t="s">
        <v>49</v>
      </c>
      <c r="E1064" s="69" t="s">
        <v>620</v>
      </c>
      <c r="F1064" s="69" t="s">
        <v>457</v>
      </c>
      <c r="G1064" s="331"/>
      <c r="H1064" s="71" t="b">
        <v>1</v>
      </c>
    </row>
    <row r="1065" ht="57.0" hidden="1" customHeight="1" outlineLevel="1">
      <c r="A1065" s="49" t="s">
        <v>1479</v>
      </c>
      <c r="B1065" s="61" t="b">
        <v>0</v>
      </c>
      <c r="C1065" s="61" t="b">
        <v>0</v>
      </c>
      <c r="D1065" s="62" t="s">
        <v>49</v>
      </c>
      <c r="E1065" s="62" t="s">
        <v>430</v>
      </c>
      <c r="F1065" s="62" t="s">
        <v>457</v>
      </c>
      <c r="G1065" s="328"/>
      <c r="H1065" s="53" t="b">
        <v>1</v>
      </c>
    </row>
    <row r="1066" ht="57.0" hidden="1" customHeight="1" outlineLevel="1">
      <c r="A1066" s="336" t="s">
        <v>1480</v>
      </c>
      <c r="B1066" s="68" t="b">
        <v>0</v>
      </c>
      <c r="C1066" s="68" t="b">
        <v>0</v>
      </c>
      <c r="D1066" s="69" t="s">
        <v>49</v>
      </c>
      <c r="E1066" s="69" t="s">
        <v>678</v>
      </c>
      <c r="F1066" s="69" t="s">
        <v>457</v>
      </c>
      <c r="G1066" s="331"/>
      <c r="H1066" s="71" t="b">
        <v>1</v>
      </c>
    </row>
    <row r="1067" ht="57.0" customHeight="1">
      <c r="A1067" s="337" t="s">
        <v>1481</v>
      </c>
      <c r="B1067" s="275" t="b">
        <v>0</v>
      </c>
      <c r="C1067" s="275" t="b">
        <v>0</v>
      </c>
      <c r="D1067" s="276" t="s">
        <v>49</v>
      </c>
      <c r="E1067" s="276" t="s">
        <v>593</v>
      </c>
      <c r="F1067" s="276" t="s">
        <v>457</v>
      </c>
      <c r="G1067" s="338"/>
      <c r="H1067" s="278" t="b">
        <v>0</v>
      </c>
    </row>
    <row r="1068" ht="57.0" customHeight="1" collapsed="1">
      <c r="A1068" s="60" t="s">
        <v>1482</v>
      </c>
      <c r="B1068" s="61" t="b">
        <v>0</v>
      </c>
      <c r="C1068" s="61" t="b">
        <v>0</v>
      </c>
      <c r="D1068" s="62" t="s">
        <v>49</v>
      </c>
      <c r="E1068" s="62" t="s">
        <v>1483</v>
      </c>
      <c r="F1068" s="62" t="s">
        <v>1484</v>
      </c>
      <c r="G1068" s="334" t="s">
        <v>1485</v>
      </c>
      <c r="H1068" s="53" t="b">
        <v>0</v>
      </c>
    </row>
    <row r="1069" ht="57.0" hidden="1" customHeight="1" outlineLevel="1">
      <c r="A1069" s="49" t="s">
        <v>1486</v>
      </c>
      <c r="B1069" s="61" t="b">
        <v>0</v>
      </c>
      <c r="C1069" s="61" t="b">
        <v>0</v>
      </c>
      <c r="D1069" s="62" t="s">
        <v>49</v>
      </c>
      <c r="E1069" s="62" t="s">
        <v>430</v>
      </c>
      <c r="F1069" s="62" t="s">
        <v>1484</v>
      </c>
      <c r="G1069" s="334"/>
      <c r="H1069" s="53" t="b">
        <v>1</v>
      </c>
    </row>
    <row r="1070" ht="57.0" hidden="1" customHeight="1" outlineLevel="1">
      <c r="A1070" s="336" t="s">
        <v>1487</v>
      </c>
      <c r="B1070" s="68" t="b">
        <v>0</v>
      </c>
      <c r="C1070" s="68" t="b">
        <v>0</v>
      </c>
      <c r="D1070" s="69" t="s">
        <v>49</v>
      </c>
      <c r="E1070" s="69" t="s">
        <v>571</v>
      </c>
      <c r="F1070" s="69" t="s">
        <v>1484</v>
      </c>
      <c r="G1070" s="339"/>
      <c r="H1070" s="71" t="b">
        <v>1</v>
      </c>
    </row>
    <row r="1071" ht="57.0" hidden="1" customHeight="1" outlineLevel="1">
      <c r="A1071" s="49" t="s">
        <v>1488</v>
      </c>
      <c r="B1071" s="61" t="b">
        <v>0</v>
      </c>
      <c r="C1071" s="61" t="b">
        <v>0</v>
      </c>
      <c r="D1071" s="62" t="s">
        <v>49</v>
      </c>
      <c r="E1071" s="62" t="s">
        <v>432</v>
      </c>
      <c r="F1071" s="62" t="s">
        <v>1484</v>
      </c>
      <c r="G1071" s="334"/>
      <c r="H1071" s="53" t="b">
        <v>1</v>
      </c>
    </row>
    <row r="1072" ht="57.0" hidden="1" customHeight="1" outlineLevel="1">
      <c r="A1072" s="336" t="s">
        <v>1489</v>
      </c>
      <c r="B1072" s="68" t="b">
        <v>0</v>
      </c>
      <c r="C1072" s="68" t="b">
        <v>0</v>
      </c>
      <c r="D1072" s="69" t="s">
        <v>49</v>
      </c>
      <c r="E1072" s="69" t="s">
        <v>798</v>
      </c>
      <c r="F1072" s="69" t="s">
        <v>1484</v>
      </c>
      <c r="G1072" s="339"/>
      <c r="H1072" s="71" t="b">
        <v>1</v>
      </c>
    </row>
    <row r="1073" ht="57.0" hidden="1" customHeight="1" outlineLevel="1">
      <c r="A1073" s="49" t="s">
        <v>1490</v>
      </c>
      <c r="B1073" s="61" t="b">
        <v>0</v>
      </c>
      <c r="C1073" s="61" t="b">
        <v>0</v>
      </c>
      <c r="D1073" s="62" t="s">
        <v>49</v>
      </c>
      <c r="E1073" s="62" t="s">
        <v>798</v>
      </c>
      <c r="F1073" s="62" t="s">
        <v>1484</v>
      </c>
      <c r="G1073" s="334"/>
      <c r="H1073" s="53" t="b">
        <v>1</v>
      </c>
    </row>
    <row r="1074" ht="57.0" hidden="1" customHeight="1" outlineLevel="1">
      <c r="A1074" s="336" t="s">
        <v>1491</v>
      </c>
      <c r="B1074" s="68" t="b">
        <v>0</v>
      </c>
      <c r="C1074" s="68" t="b">
        <v>0</v>
      </c>
      <c r="D1074" s="69" t="s">
        <v>49</v>
      </c>
      <c r="E1074" s="69" t="s">
        <v>571</v>
      </c>
      <c r="F1074" s="69" t="s">
        <v>1484</v>
      </c>
      <c r="G1074" s="339"/>
      <c r="H1074" s="71" t="b">
        <v>1</v>
      </c>
    </row>
    <row r="1075" ht="57.0" hidden="1" customHeight="1" outlineLevel="1">
      <c r="A1075" s="49" t="s">
        <v>1492</v>
      </c>
      <c r="B1075" s="61" t="b">
        <v>0</v>
      </c>
      <c r="C1075" s="61" t="b">
        <v>0</v>
      </c>
      <c r="D1075" s="62" t="s">
        <v>49</v>
      </c>
      <c r="E1075" s="62" t="s">
        <v>571</v>
      </c>
      <c r="F1075" s="62" t="s">
        <v>1484</v>
      </c>
      <c r="G1075" s="334"/>
      <c r="H1075" s="53" t="b">
        <v>1</v>
      </c>
    </row>
    <row r="1076" ht="57.0" hidden="1" customHeight="1" outlineLevel="1">
      <c r="A1076" s="336" t="s">
        <v>1493</v>
      </c>
      <c r="B1076" s="68" t="b">
        <v>0</v>
      </c>
      <c r="C1076" s="68" t="b">
        <v>0</v>
      </c>
      <c r="D1076" s="69" t="s">
        <v>49</v>
      </c>
      <c r="E1076" s="69" t="s">
        <v>628</v>
      </c>
      <c r="F1076" s="69" t="s">
        <v>1484</v>
      </c>
      <c r="G1076" s="339"/>
      <c r="H1076" s="71" t="b">
        <v>1</v>
      </c>
    </row>
    <row r="1077" ht="57.0" customHeight="1" collapsed="1">
      <c r="A1077" s="274" t="s">
        <v>1494</v>
      </c>
      <c r="B1077" s="275" t="b">
        <v>0</v>
      </c>
      <c r="C1077" s="275" t="b">
        <v>0</v>
      </c>
      <c r="D1077" s="276" t="s">
        <v>1495</v>
      </c>
      <c r="E1077" s="276" t="s">
        <v>1496</v>
      </c>
      <c r="F1077" s="276" t="s">
        <v>1497</v>
      </c>
      <c r="G1077" s="327" t="s">
        <v>1498</v>
      </c>
      <c r="H1077" s="278" t="b">
        <v>0</v>
      </c>
    </row>
    <row r="1078" ht="57.0" hidden="1" customHeight="1" outlineLevel="1">
      <c r="A1078" s="60" t="s">
        <v>1499</v>
      </c>
      <c r="B1078" s="61" t="b">
        <v>0</v>
      </c>
      <c r="C1078" s="61" t="b">
        <v>0</v>
      </c>
      <c r="D1078" s="62" t="s">
        <v>49</v>
      </c>
      <c r="E1078" s="62" t="s">
        <v>1151</v>
      </c>
      <c r="F1078" s="62" t="s">
        <v>1500</v>
      </c>
      <c r="G1078" s="328"/>
      <c r="H1078" s="53" t="b">
        <v>1</v>
      </c>
    </row>
    <row r="1079" ht="57.0" hidden="1" customHeight="1" outlineLevel="1">
      <c r="A1079" s="66" t="s">
        <v>1501</v>
      </c>
      <c r="B1079" s="68" t="b">
        <v>0</v>
      </c>
      <c r="C1079" s="68" t="b">
        <v>0</v>
      </c>
      <c r="D1079" s="69" t="s">
        <v>49</v>
      </c>
      <c r="E1079" s="69" t="s">
        <v>1333</v>
      </c>
      <c r="F1079" s="69" t="s">
        <v>1500</v>
      </c>
      <c r="G1079" s="331"/>
      <c r="H1079" s="71" t="b">
        <v>1</v>
      </c>
    </row>
    <row r="1080" ht="57.0" hidden="1" customHeight="1" outlineLevel="1">
      <c r="A1080" s="60" t="s">
        <v>1502</v>
      </c>
      <c r="B1080" s="61" t="b">
        <v>0</v>
      </c>
      <c r="C1080" s="61" t="b">
        <v>0</v>
      </c>
      <c r="D1080" s="62" t="s">
        <v>49</v>
      </c>
      <c r="E1080" s="62" t="s">
        <v>1333</v>
      </c>
      <c r="F1080" s="62" t="s">
        <v>1500</v>
      </c>
      <c r="G1080" s="328"/>
      <c r="H1080" s="53" t="b">
        <v>1</v>
      </c>
      <c r="I1080" s="335"/>
      <c r="J1080" s="335"/>
    </row>
    <row r="1081" ht="57.0" hidden="1" customHeight="1" outlineLevel="1">
      <c r="A1081" s="66" t="s">
        <v>1503</v>
      </c>
      <c r="B1081" s="68" t="b">
        <v>0</v>
      </c>
      <c r="C1081" s="68" t="b">
        <v>0</v>
      </c>
      <c r="D1081" s="69" t="s">
        <v>401</v>
      </c>
      <c r="E1081" s="69" t="s">
        <v>1267</v>
      </c>
      <c r="F1081" s="69" t="s">
        <v>1500</v>
      </c>
      <c r="G1081" s="331"/>
      <c r="H1081" s="71" t="b">
        <v>1</v>
      </c>
      <c r="I1081" s="335"/>
      <c r="J1081" s="335"/>
    </row>
    <row r="1082" ht="57.0" hidden="1" customHeight="1" outlineLevel="1">
      <c r="A1082" s="60" t="s">
        <v>1504</v>
      </c>
      <c r="B1082" s="61" t="b">
        <v>0</v>
      </c>
      <c r="C1082" s="61" t="b">
        <v>0</v>
      </c>
      <c r="D1082" s="62" t="s">
        <v>49</v>
      </c>
      <c r="E1082" s="62" t="s">
        <v>1333</v>
      </c>
      <c r="F1082" s="62" t="s">
        <v>1500</v>
      </c>
      <c r="G1082" s="328"/>
      <c r="H1082" s="53" t="b">
        <v>1</v>
      </c>
      <c r="I1082" s="335"/>
      <c r="J1082" s="335"/>
    </row>
    <row r="1083" ht="57.0" hidden="1" customHeight="1" outlineLevel="1">
      <c r="A1083" s="66" t="s">
        <v>1505</v>
      </c>
      <c r="B1083" s="68" t="b">
        <v>0</v>
      </c>
      <c r="C1083" s="68" t="b">
        <v>0</v>
      </c>
      <c r="D1083" s="69" t="s">
        <v>49</v>
      </c>
      <c r="E1083" s="69" t="s">
        <v>1190</v>
      </c>
      <c r="F1083" s="69" t="s">
        <v>1500</v>
      </c>
      <c r="G1083" s="331"/>
      <c r="H1083" s="71" t="b">
        <v>1</v>
      </c>
      <c r="I1083" s="335"/>
      <c r="J1083" s="335"/>
    </row>
    <row r="1084" ht="57.0" hidden="1" customHeight="1" outlineLevel="1">
      <c r="A1084" s="60" t="s">
        <v>1506</v>
      </c>
      <c r="B1084" s="61" t="b">
        <v>0</v>
      </c>
      <c r="C1084" s="61" t="b">
        <v>0</v>
      </c>
      <c r="D1084" s="62" t="s">
        <v>49</v>
      </c>
      <c r="E1084" s="62" t="s">
        <v>1147</v>
      </c>
      <c r="F1084" s="62" t="s">
        <v>1500</v>
      </c>
      <c r="G1084" s="328"/>
      <c r="H1084" s="53" t="b">
        <v>1</v>
      </c>
      <c r="I1084" s="335"/>
      <c r="J1084" s="335"/>
    </row>
    <row r="1085" ht="57.0" hidden="1" customHeight="1" outlineLevel="1">
      <c r="A1085" s="66" t="s">
        <v>1507</v>
      </c>
      <c r="B1085" s="68" t="b">
        <v>0</v>
      </c>
      <c r="C1085" s="68" t="b">
        <v>0</v>
      </c>
      <c r="D1085" s="69" t="s">
        <v>49</v>
      </c>
      <c r="E1085" s="69" t="s">
        <v>1147</v>
      </c>
      <c r="F1085" s="69" t="s">
        <v>1500</v>
      </c>
      <c r="G1085" s="331"/>
      <c r="H1085" s="71" t="b">
        <v>1</v>
      </c>
      <c r="I1085" s="335"/>
      <c r="J1085" s="335"/>
    </row>
    <row r="1086" ht="57.0" hidden="1" customHeight="1" outlineLevel="1">
      <c r="A1086" s="60" t="s">
        <v>1508</v>
      </c>
      <c r="B1086" s="61" t="b">
        <v>0</v>
      </c>
      <c r="C1086" s="61" t="b">
        <v>0</v>
      </c>
      <c r="D1086" s="62" t="s">
        <v>401</v>
      </c>
      <c r="E1086" s="62" t="s">
        <v>539</v>
      </c>
      <c r="F1086" s="62" t="s">
        <v>1500</v>
      </c>
      <c r="G1086" s="328"/>
      <c r="H1086" s="53" t="b">
        <v>1</v>
      </c>
      <c r="I1086" s="335"/>
      <c r="J1086" s="335"/>
    </row>
    <row r="1087" ht="57.0" customHeight="1">
      <c r="A1087" s="60" t="s">
        <v>1509</v>
      </c>
      <c r="B1087" s="61" t="b">
        <v>0</v>
      </c>
      <c r="C1087" s="61" t="b">
        <v>0</v>
      </c>
      <c r="D1087" s="62" t="s">
        <v>401</v>
      </c>
      <c r="E1087" s="62" t="s">
        <v>1510</v>
      </c>
      <c r="F1087" s="62" t="s">
        <v>457</v>
      </c>
      <c r="G1087" s="63"/>
      <c r="H1087" s="53" t="b">
        <v>0</v>
      </c>
      <c r="I1087" s="335"/>
      <c r="J1087" s="335"/>
    </row>
    <row r="1088" ht="57.0" customHeight="1">
      <c r="A1088" s="274" t="s">
        <v>1511</v>
      </c>
      <c r="B1088" s="275" t="b">
        <v>0</v>
      </c>
      <c r="C1088" s="275" t="b">
        <v>0</v>
      </c>
      <c r="D1088" s="276" t="s">
        <v>1512</v>
      </c>
      <c r="E1088" s="276" t="s">
        <v>1512</v>
      </c>
      <c r="F1088" s="276" t="s">
        <v>1512</v>
      </c>
      <c r="G1088" s="277" t="s">
        <v>1513</v>
      </c>
      <c r="H1088" s="278" t="b">
        <v>0</v>
      </c>
      <c r="I1088" s="161"/>
      <c r="J1088" s="161"/>
    </row>
    <row r="1089" ht="57.0" customHeight="1" collapsed="1">
      <c r="A1089" s="60" t="s">
        <v>1514</v>
      </c>
      <c r="B1089" s="61" t="b">
        <v>0</v>
      </c>
      <c r="C1089" s="61" t="b">
        <v>0</v>
      </c>
      <c r="D1089" s="62" t="s">
        <v>1512</v>
      </c>
      <c r="E1089" s="62" t="s">
        <v>1512</v>
      </c>
      <c r="F1089" s="62" t="s">
        <v>1399</v>
      </c>
      <c r="G1089" s="63" t="s">
        <v>1512</v>
      </c>
      <c r="H1089" s="103" t="b">
        <v>0</v>
      </c>
      <c r="I1089" s="340"/>
      <c r="J1089" s="161"/>
    </row>
    <row r="1090" ht="57.0" hidden="1" customHeight="1" outlineLevel="1">
      <c r="A1090" s="60" t="s">
        <v>1515</v>
      </c>
      <c r="B1090" s="61" t="b">
        <v>0</v>
      </c>
      <c r="C1090" s="61" t="b">
        <v>0</v>
      </c>
      <c r="D1090" s="62" t="s">
        <v>1512</v>
      </c>
      <c r="E1090" s="62" t="s">
        <v>1512</v>
      </c>
      <c r="F1090" s="62" t="s">
        <v>1512</v>
      </c>
      <c r="G1090" s="63" t="s">
        <v>1512</v>
      </c>
      <c r="H1090" s="103" t="b">
        <v>1</v>
      </c>
      <c r="I1090" s="340"/>
      <c r="J1090" s="161"/>
    </row>
    <row r="1091" ht="57.0" hidden="1" customHeight="1" outlineLevel="1">
      <c r="A1091" s="66" t="s">
        <v>1516</v>
      </c>
      <c r="B1091" s="68" t="b">
        <v>0</v>
      </c>
      <c r="C1091" s="68" t="b">
        <v>0</v>
      </c>
      <c r="D1091" s="69" t="s">
        <v>1512</v>
      </c>
      <c r="E1091" s="69" t="s">
        <v>1512</v>
      </c>
      <c r="F1091" s="69" t="s">
        <v>1512</v>
      </c>
      <c r="G1091" s="70" t="s">
        <v>1512</v>
      </c>
      <c r="H1091" s="104" t="b">
        <v>1</v>
      </c>
      <c r="I1091" s="340"/>
      <c r="J1091" s="161"/>
    </row>
    <row r="1092" ht="57.0" hidden="1" customHeight="1" outlineLevel="1">
      <c r="A1092" s="60" t="s">
        <v>1517</v>
      </c>
      <c r="B1092" s="61" t="b">
        <v>0</v>
      </c>
      <c r="C1092" s="61" t="b">
        <v>0</v>
      </c>
      <c r="D1092" s="62" t="s">
        <v>1512</v>
      </c>
      <c r="E1092" s="62" t="s">
        <v>1512</v>
      </c>
      <c r="F1092" s="62" t="s">
        <v>1512</v>
      </c>
      <c r="G1092" s="63" t="s">
        <v>1512</v>
      </c>
      <c r="H1092" s="103" t="b">
        <v>1</v>
      </c>
      <c r="I1092" s="340"/>
      <c r="J1092" s="161"/>
    </row>
    <row r="1093" ht="57.0" hidden="1" customHeight="1" outlineLevel="1">
      <c r="A1093" s="66" t="s">
        <v>1518</v>
      </c>
      <c r="B1093" s="68" t="b">
        <v>0</v>
      </c>
      <c r="C1093" s="68" t="b">
        <v>0</v>
      </c>
      <c r="D1093" s="69" t="s">
        <v>1512</v>
      </c>
      <c r="E1093" s="69" t="s">
        <v>1512</v>
      </c>
      <c r="F1093" s="69" t="s">
        <v>1512</v>
      </c>
      <c r="G1093" s="70" t="s">
        <v>1512</v>
      </c>
      <c r="H1093" s="104" t="b">
        <v>1</v>
      </c>
      <c r="I1093" s="340"/>
      <c r="J1093" s="161"/>
    </row>
    <row r="1094" ht="57.0" hidden="1" customHeight="1" outlineLevel="1">
      <c r="A1094" s="60" t="s">
        <v>1519</v>
      </c>
      <c r="B1094" s="61" t="b">
        <v>0</v>
      </c>
      <c r="C1094" s="61" t="b">
        <v>0</v>
      </c>
      <c r="D1094" s="62" t="s">
        <v>1512</v>
      </c>
      <c r="E1094" s="62" t="s">
        <v>1512</v>
      </c>
      <c r="F1094" s="62" t="s">
        <v>1512</v>
      </c>
      <c r="G1094" s="63" t="s">
        <v>1512</v>
      </c>
      <c r="H1094" s="103" t="b">
        <v>1</v>
      </c>
      <c r="I1094" s="340"/>
      <c r="J1094" s="161"/>
    </row>
    <row r="1095" ht="57.0" hidden="1" customHeight="1" outlineLevel="1">
      <c r="A1095" s="66" t="s">
        <v>1520</v>
      </c>
      <c r="B1095" s="68" t="b">
        <v>0</v>
      </c>
      <c r="C1095" s="68" t="b">
        <v>0</v>
      </c>
      <c r="D1095" s="69" t="s">
        <v>1512</v>
      </c>
      <c r="E1095" s="69" t="s">
        <v>1512</v>
      </c>
      <c r="F1095" s="69" t="s">
        <v>1512</v>
      </c>
      <c r="G1095" s="70" t="s">
        <v>1512</v>
      </c>
      <c r="H1095" s="104" t="b">
        <v>1</v>
      </c>
      <c r="I1095" s="340"/>
      <c r="J1095" s="161"/>
    </row>
    <row r="1096" ht="57.0" hidden="1" customHeight="1" outlineLevel="1">
      <c r="A1096" s="60" t="s">
        <v>1521</v>
      </c>
      <c r="B1096" s="61" t="b">
        <v>0</v>
      </c>
      <c r="C1096" s="61" t="b">
        <v>0</v>
      </c>
      <c r="D1096" s="62" t="s">
        <v>1512</v>
      </c>
      <c r="E1096" s="62" t="s">
        <v>1512</v>
      </c>
      <c r="F1096" s="62" t="s">
        <v>1512</v>
      </c>
      <c r="G1096" s="63" t="s">
        <v>1512</v>
      </c>
      <c r="H1096" s="103" t="b">
        <v>1</v>
      </c>
      <c r="I1096" s="340"/>
      <c r="J1096" s="161"/>
    </row>
    <row r="1097" ht="57.0" hidden="1" customHeight="1" outlineLevel="1">
      <c r="A1097" s="66" t="s">
        <v>1522</v>
      </c>
      <c r="B1097" s="68" t="b">
        <v>0</v>
      </c>
      <c r="C1097" s="68" t="b">
        <v>0</v>
      </c>
      <c r="D1097" s="69" t="s">
        <v>1512</v>
      </c>
      <c r="E1097" s="69" t="s">
        <v>1512</v>
      </c>
      <c r="F1097" s="69" t="s">
        <v>1512</v>
      </c>
      <c r="G1097" s="70" t="s">
        <v>1512</v>
      </c>
      <c r="H1097" s="104" t="b">
        <v>1</v>
      </c>
      <c r="I1097" s="340"/>
      <c r="J1097" s="161"/>
    </row>
    <row r="1098" ht="57.0" hidden="1" customHeight="1" outlineLevel="1">
      <c r="A1098" s="60" t="s">
        <v>1523</v>
      </c>
      <c r="B1098" s="61" t="b">
        <v>0</v>
      </c>
      <c r="C1098" s="61" t="b">
        <v>0</v>
      </c>
      <c r="D1098" s="62" t="s">
        <v>1512</v>
      </c>
      <c r="E1098" s="62" t="s">
        <v>1512</v>
      </c>
      <c r="F1098" s="62" t="s">
        <v>1512</v>
      </c>
      <c r="G1098" s="63" t="s">
        <v>1512</v>
      </c>
      <c r="H1098" s="103" t="b">
        <v>1</v>
      </c>
      <c r="I1098" s="340"/>
      <c r="J1098" s="161"/>
    </row>
    <row r="1099" ht="57.0" hidden="1" customHeight="1" outlineLevel="1">
      <c r="A1099" s="66" t="s">
        <v>1524</v>
      </c>
      <c r="B1099" s="68" t="b">
        <v>0</v>
      </c>
      <c r="C1099" s="68" t="b">
        <v>0</v>
      </c>
      <c r="D1099" s="69" t="s">
        <v>1512</v>
      </c>
      <c r="E1099" s="69" t="s">
        <v>1512</v>
      </c>
      <c r="F1099" s="69" t="s">
        <v>1512</v>
      </c>
      <c r="G1099" s="70" t="s">
        <v>1512</v>
      </c>
      <c r="H1099" s="104" t="b">
        <v>1</v>
      </c>
      <c r="I1099" s="340"/>
      <c r="J1099" s="161"/>
    </row>
    <row r="1100" ht="57.0" customHeight="1" collapsed="1">
      <c r="A1100" s="274" t="s">
        <v>1525</v>
      </c>
      <c r="B1100" s="275" t="b">
        <v>0</v>
      </c>
      <c r="C1100" s="275" t="b">
        <v>0</v>
      </c>
      <c r="D1100" s="276" t="s">
        <v>1512</v>
      </c>
      <c r="E1100" s="276" t="s">
        <v>1512</v>
      </c>
      <c r="F1100" s="276" t="s">
        <v>1512</v>
      </c>
      <c r="G1100" s="277"/>
      <c r="H1100" s="293" t="b">
        <v>0</v>
      </c>
      <c r="I1100" s="340"/>
    </row>
    <row r="1101" ht="57.0" hidden="1" customHeight="1" outlineLevel="1">
      <c r="A1101" s="60" t="s">
        <v>1515</v>
      </c>
      <c r="B1101" s="61" t="b">
        <v>0</v>
      </c>
      <c r="C1101" s="61" t="b">
        <v>0</v>
      </c>
      <c r="D1101" s="62" t="s">
        <v>1512</v>
      </c>
      <c r="E1101" s="62" t="s">
        <v>1512</v>
      </c>
      <c r="F1101" s="62" t="s">
        <v>1512</v>
      </c>
      <c r="G1101" s="185" t="s">
        <v>1512</v>
      </c>
      <c r="H1101" s="103" t="b">
        <v>1</v>
      </c>
      <c r="I1101" s="341"/>
    </row>
    <row r="1102" ht="57.0" hidden="1" customHeight="1" outlineLevel="1">
      <c r="A1102" s="66" t="s">
        <v>1516</v>
      </c>
      <c r="B1102" s="68" t="b">
        <v>0</v>
      </c>
      <c r="C1102" s="68" t="b">
        <v>0</v>
      </c>
      <c r="D1102" s="69" t="s">
        <v>1512</v>
      </c>
      <c r="E1102" s="69" t="s">
        <v>1512</v>
      </c>
      <c r="F1102" s="69" t="s">
        <v>1512</v>
      </c>
      <c r="G1102" s="198" t="s">
        <v>1512</v>
      </c>
      <c r="H1102" s="104" t="b">
        <v>1</v>
      </c>
      <c r="I1102" s="341"/>
    </row>
    <row r="1103" ht="57.0" hidden="1" customHeight="1" outlineLevel="1">
      <c r="A1103" s="60" t="s">
        <v>1517</v>
      </c>
      <c r="B1103" s="61" t="b">
        <v>0</v>
      </c>
      <c r="C1103" s="61" t="b">
        <v>0</v>
      </c>
      <c r="D1103" s="62" t="s">
        <v>1512</v>
      </c>
      <c r="E1103" s="62" t="s">
        <v>1512</v>
      </c>
      <c r="F1103" s="62" t="s">
        <v>1512</v>
      </c>
      <c r="G1103" s="185" t="s">
        <v>1512</v>
      </c>
      <c r="H1103" s="103" t="b">
        <v>1</v>
      </c>
      <c r="I1103" s="341"/>
    </row>
    <row r="1104" ht="57.0" hidden="1" customHeight="1" outlineLevel="1">
      <c r="A1104" s="66" t="s">
        <v>1518</v>
      </c>
      <c r="B1104" s="68" t="b">
        <v>0</v>
      </c>
      <c r="C1104" s="68" t="b">
        <v>0</v>
      </c>
      <c r="D1104" s="69" t="s">
        <v>1512</v>
      </c>
      <c r="E1104" s="69" t="s">
        <v>1512</v>
      </c>
      <c r="F1104" s="69" t="s">
        <v>1512</v>
      </c>
      <c r="G1104" s="198" t="s">
        <v>1512</v>
      </c>
      <c r="H1104" s="104" t="b">
        <v>1</v>
      </c>
      <c r="I1104" s="341"/>
    </row>
    <row r="1105" ht="57.0" hidden="1" customHeight="1" outlineLevel="1">
      <c r="A1105" s="60" t="s">
        <v>1519</v>
      </c>
      <c r="B1105" s="61" t="b">
        <v>0</v>
      </c>
      <c r="C1105" s="61" t="b">
        <v>0</v>
      </c>
      <c r="D1105" s="62" t="s">
        <v>1512</v>
      </c>
      <c r="E1105" s="62" t="s">
        <v>1512</v>
      </c>
      <c r="F1105" s="62" t="s">
        <v>1512</v>
      </c>
      <c r="G1105" s="185" t="s">
        <v>1512</v>
      </c>
      <c r="H1105" s="103" t="b">
        <v>1</v>
      </c>
      <c r="I1105" s="341"/>
    </row>
    <row r="1106" ht="57.0" hidden="1" customHeight="1" outlineLevel="1">
      <c r="A1106" s="66" t="s">
        <v>1520</v>
      </c>
      <c r="B1106" s="68" t="b">
        <v>0</v>
      </c>
      <c r="C1106" s="68" t="b">
        <v>0</v>
      </c>
      <c r="D1106" s="69" t="s">
        <v>1512</v>
      </c>
      <c r="E1106" s="69" t="s">
        <v>1512</v>
      </c>
      <c r="F1106" s="69" t="s">
        <v>1512</v>
      </c>
      <c r="G1106" s="198" t="s">
        <v>1512</v>
      </c>
      <c r="H1106" s="104" t="b">
        <v>1</v>
      </c>
      <c r="I1106" s="341"/>
    </row>
    <row r="1107" ht="57.0" hidden="1" customHeight="1" outlineLevel="1">
      <c r="A1107" s="60" t="s">
        <v>1521</v>
      </c>
      <c r="B1107" s="61" t="b">
        <v>0</v>
      </c>
      <c r="C1107" s="61" t="b">
        <v>0</v>
      </c>
      <c r="D1107" s="62" t="s">
        <v>1512</v>
      </c>
      <c r="E1107" s="62" t="s">
        <v>1512</v>
      </c>
      <c r="F1107" s="62" t="s">
        <v>1512</v>
      </c>
      <c r="G1107" s="185" t="s">
        <v>1512</v>
      </c>
      <c r="H1107" s="103" t="b">
        <v>1</v>
      </c>
      <c r="I1107" s="211"/>
    </row>
    <row r="1108" ht="57.0" hidden="1" customHeight="1" outlineLevel="1">
      <c r="A1108" s="66" t="s">
        <v>1522</v>
      </c>
      <c r="B1108" s="68" t="b">
        <v>0</v>
      </c>
      <c r="C1108" s="68" t="b">
        <v>0</v>
      </c>
      <c r="D1108" s="69" t="s">
        <v>1512</v>
      </c>
      <c r="E1108" s="69" t="s">
        <v>1512</v>
      </c>
      <c r="F1108" s="69" t="s">
        <v>1512</v>
      </c>
      <c r="G1108" s="198" t="s">
        <v>1512</v>
      </c>
      <c r="H1108" s="104" t="b">
        <v>1</v>
      </c>
      <c r="I1108" s="211"/>
    </row>
    <row r="1109" ht="57.0" customHeight="1" collapsed="1">
      <c r="A1109" s="60" t="s">
        <v>1526</v>
      </c>
      <c r="B1109" s="61" t="b">
        <v>0</v>
      </c>
      <c r="C1109" s="61" t="b">
        <v>0</v>
      </c>
      <c r="D1109" s="62" t="s">
        <v>49</v>
      </c>
      <c r="E1109" s="200" t="s">
        <v>1527</v>
      </c>
      <c r="F1109" s="62" t="s">
        <v>1528</v>
      </c>
      <c r="G1109" s="334" t="s">
        <v>1529</v>
      </c>
      <c r="H1109" s="103" t="b">
        <v>0</v>
      </c>
      <c r="I1109" s="342"/>
    </row>
    <row r="1110" ht="57.0" hidden="1" customHeight="1" outlineLevel="1">
      <c r="A1110" s="60" t="s">
        <v>1530</v>
      </c>
      <c r="B1110" s="61" t="b">
        <v>0</v>
      </c>
      <c r="C1110" s="61" t="b">
        <v>0</v>
      </c>
      <c r="D1110" s="62" t="s">
        <v>49</v>
      </c>
      <c r="E1110" s="62" t="s">
        <v>1531</v>
      </c>
      <c r="F1110" s="62" t="s">
        <v>1532</v>
      </c>
      <c r="G1110" s="343" t="s">
        <v>1533</v>
      </c>
      <c r="H1110" s="103" t="b">
        <v>1</v>
      </c>
      <c r="I1110" s="344"/>
    </row>
    <row r="1111" ht="57.0" hidden="1" customHeight="1" outlineLevel="1">
      <c r="A1111" s="66" t="s">
        <v>1534</v>
      </c>
      <c r="B1111" s="68" t="b">
        <v>0</v>
      </c>
      <c r="C1111" s="68" t="b">
        <v>0</v>
      </c>
      <c r="D1111" s="69" t="s">
        <v>49</v>
      </c>
      <c r="E1111" s="69" t="s">
        <v>1531</v>
      </c>
      <c r="F1111" s="69" t="s">
        <v>457</v>
      </c>
      <c r="G1111" s="345" t="s">
        <v>1535</v>
      </c>
      <c r="H1111" s="104" t="b">
        <v>1</v>
      </c>
      <c r="I1111" s="344"/>
    </row>
    <row r="1112" ht="57.0" hidden="1" customHeight="1" outlineLevel="1">
      <c r="A1112" s="60" t="s">
        <v>1536</v>
      </c>
      <c r="B1112" s="61" t="b">
        <v>0</v>
      </c>
      <c r="C1112" s="61" t="b">
        <v>0</v>
      </c>
      <c r="D1112" s="62" t="s">
        <v>49</v>
      </c>
      <c r="E1112" s="62" t="s">
        <v>1531</v>
      </c>
      <c r="F1112" s="62" t="s">
        <v>1537</v>
      </c>
      <c r="G1112" s="343" t="s">
        <v>1538</v>
      </c>
      <c r="H1112" s="103" t="b">
        <v>1</v>
      </c>
      <c r="I1112" s="344"/>
    </row>
    <row r="1113" ht="57.0" hidden="1" customHeight="1" outlineLevel="1">
      <c r="A1113" s="66" t="s">
        <v>1539</v>
      </c>
      <c r="B1113" s="68" t="b">
        <v>0</v>
      </c>
      <c r="C1113" s="68" t="b">
        <v>0</v>
      </c>
      <c r="D1113" s="69" t="s">
        <v>49</v>
      </c>
      <c r="E1113" s="69" t="s">
        <v>1531</v>
      </c>
      <c r="F1113" s="69" t="s">
        <v>457</v>
      </c>
      <c r="G1113" s="345" t="s">
        <v>1540</v>
      </c>
      <c r="H1113" s="104" t="b">
        <v>1</v>
      </c>
      <c r="I1113" s="344"/>
    </row>
    <row r="1114" ht="57.0" customHeight="1">
      <c r="A1114" s="346" t="s">
        <v>1541</v>
      </c>
      <c r="B1114" s="300" t="b">
        <v>0</v>
      </c>
      <c r="C1114" s="300" t="b">
        <v>0</v>
      </c>
      <c r="D1114" s="301" t="s">
        <v>1512</v>
      </c>
      <c r="E1114" s="301" t="s">
        <v>1512</v>
      </c>
      <c r="F1114" s="301" t="s">
        <v>1512</v>
      </c>
      <c r="G1114" s="347" t="s">
        <v>1512</v>
      </c>
      <c r="H1114" s="348" t="b">
        <v>0</v>
      </c>
      <c r="I1114" s="349"/>
    </row>
    <row r="1115" ht="31.5" customHeight="1">
      <c r="A1115" s="173" t="str">
        <f> A275</f>
        <v>LEGEND: ⭐= Important / Major Impact | 📺= Series | 🍿= MCU Movie / Special | 🎬= Shortfilm/Oneshot | ⭕= Other Universe (Non-MCU)</v>
      </c>
      <c r="B1115" s="174"/>
      <c r="C1115" s="174"/>
      <c r="D1115" s="174"/>
      <c r="E1115" s="174"/>
      <c r="F1115" s="174"/>
      <c r="G1115" s="175"/>
      <c r="H1115" s="125"/>
      <c r="I1115" s="126"/>
      <c r="J1115" s="126"/>
    </row>
    <row r="1116" ht="114.75" customHeight="1">
      <c r="A1116" s="350"/>
      <c r="B1116" s="127"/>
      <c r="C1116" s="127"/>
      <c r="D1116" s="351" t="s">
        <v>1542</v>
      </c>
      <c r="E1116" s="127"/>
      <c r="F1116" s="127"/>
      <c r="G1116" s="352"/>
      <c r="H1116" s="353"/>
      <c r="I1116" s="161"/>
      <c r="J1116" s="161"/>
    </row>
    <row r="1117" ht="82.5" customHeight="1">
      <c r="A1117" s="354" t="s">
        <v>1543</v>
      </c>
      <c r="B1117" s="355"/>
      <c r="C1117" s="355"/>
      <c r="D1117" s="355"/>
      <c r="E1117" s="355"/>
      <c r="F1117" s="355"/>
      <c r="G1117" s="355"/>
      <c r="H1117" s="355"/>
      <c r="I1117" s="355"/>
      <c r="J1117" s="356"/>
    </row>
    <row r="1118" ht="57.0" customHeight="1">
      <c r="A1118" s="357" t="s">
        <v>1544</v>
      </c>
      <c r="B1118" s="358" t="b">
        <v>0</v>
      </c>
      <c r="C1118" s="358" t="b">
        <v>0</v>
      </c>
      <c r="D1118" s="359"/>
      <c r="E1118" s="360"/>
      <c r="F1118" s="360"/>
      <c r="G1118" s="361"/>
      <c r="H1118" s="362"/>
      <c r="I1118" s="212"/>
      <c r="J1118" s="212"/>
    </row>
    <row r="1119" ht="57.0" customHeight="1">
      <c r="A1119" s="363" t="s">
        <v>1545</v>
      </c>
      <c r="B1119" s="364" t="b">
        <v>0</v>
      </c>
      <c r="C1119" s="364" t="b">
        <v>0</v>
      </c>
      <c r="D1119" s="365"/>
      <c r="E1119" s="366"/>
      <c r="F1119" s="366"/>
      <c r="G1119" s="367"/>
      <c r="H1119" s="362"/>
      <c r="I1119" s="212"/>
      <c r="J1119" s="212"/>
    </row>
    <row r="1120" ht="57.0" customHeight="1">
      <c r="A1120" s="363" t="s">
        <v>1546</v>
      </c>
      <c r="B1120" s="364" t="b">
        <v>0</v>
      </c>
      <c r="C1120" s="364" t="b">
        <v>0</v>
      </c>
      <c r="D1120" s="365"/>
      <c r="E1120" s="366"/>
      <c r="F1120" s="366"/>
      <c r="G1120" s="367"/>
      <c r="H1120" s="362"/>
      <c r="I1120" s="368"/>
      <c r="J1120" s="368"/>
    </row>
    <row r="1121" ht="57.0" customHeight="1">
      <c r="A1121" s="363" t="s">
        <v>1547</v>
      </c>
      <c r="B1121" s="364" t="b">
        <v>0</v>
      </c>
      <c r="C1121" s="364" t="b">
        <v>0</v>
      </c>
      <c r="D1121" s="365"/>
      <c r="E1121" s="366"/>
      <c r="F1121" s="366"/>
      <c r="G1121" s="367"/>
      <c r="H1121" s="362"/>
      <c r="I1121" s="368"/>
      <c r="J1121" s="368"/>
    </row>
    <row r="1122" ht="57.0" customHeight="1">
      <c r="A1122" s="363" t="s">
        <v>1548</v>
      </c>
      <c r="B1122" s="364" t="b">
        <v>0</v>
      </c>
      <c r="C1122" s="364" t="b">
        <v>0</v>
      </c>
      <c r="D1122" s="365"/>
      <c r="E1122" s="366"/>
      <c r="F1122" s="366"/>
      <c r="G1122" s="367"/>
      <c r="H1122" s="362"/>
      <c r="I1122" s="368"/>
      <c r="J1122" s="368"/>
    </row>
    <row r="1123" ht="57.0" customHeight="1">
      <c r="A1123" s="363" t="s">
        <v>1549</v>
      </c>
      <c r="B1123" s="364" t="b">
        <v>0</v>
      </c>
      <c r="C1123" s="364" t="b">
        <v>0</v>
      </c>
      <c r="D1123" s="365"/>
      <c r="E1123" s="366"/>
      <c r="F1123" s="366"/>
      <c r="G1123" s="367"/>
      <c r="H1123" s="362"/>
      <c r="I1123" s="368"/>
      <c r="J1123" s="368"/>
    </row>
    <row r="1124" ht="57.0" customHeight="1">
      <c r="A1124" s="363" t="s">
        <v>1550</v>
      </c>
      <c r="B1124" s="364" t="b">
        <v>0</v>
      </c>
      <c r="C1124" s="364" t="b">
        <v>0</v>
      </c>
      <c r="D1124" s="365"/>
      <c r="E1124" s="366"/>
      <c r="F1124" s="366"/>
      <c r="G1124" s="367"/>
      <c r="H1124" s="362"/>
      <c r="I1124" s="368"/>
      <c r="J1124" s="368"/>
    </row>
    <row r="1125" ht="57.0" customHeight="1">
      <c r="A1125" s="363" t="s">
        <v>1551</v>
      </c>
      <c r="B1125" s="364" t="b">
        <v>0</v>
      </c>
      <c r="C1125" s="364" t="b">
        <v>0</v>
      </c>
      <c r="D1125" s="365"/>
      <c r="E1125" s="366"/>
      <c r="F1125" s="366"/>
      <c r="G1125" s="367"/>
      <c r="H1125" s="362"/>
      <c r="I1125" s="212"/>
      <c r="J1125" s="212"/>
    </row>
    <row r="1126" ht="57.0" customHeight="1">
      <c r="A1126" s="363" t="s">
        <v>1552</v>
      </c>
      <c r="B1126" s="364" t="b">
        <v>0</v>
      </c>
      <c r="C1126" s="364" t="b">
        <v>0</v>
      </c>
      <c r="D1126" s="365"/>
      <c r="E1126" s="366"/>
      <c r="F1126" s="366"/>
      <c r="G1126" s="367"/>
      <c r="H1126" s="362"/>
      <c r="I1126" s="212"/>
      <c r="J1126" s="212"/>
    </row>
    <row r="1127" ht="57.0" customHeight="1">
      <c r="A1127" s="363" t="s">
        <v>1553</v>
      </c>
      <c r="B1127" s="364" t="b">
        <v>0</v>
      </c>
      <c r="C1127" s="364" t="b">
        <v>0</v>
      </c>
      <c r="D1127" s="365"/>
      <c r="E1127" s="366"/>
      <c r="F1127" s="366"/>
      <c r="G1127" s="367"/>
      <c r="H1127" s="362"/>
      <c r="I1127" s="212"/>
      <c r="J1127" s="212"/>
    </row>
    <row r="1128" ht="57.0" customHeight="1">
      <c r="A1128" s="363" t="s">
        <v>1554</v>
      </c>
      <c r="B1128" s="364" t="b">
        <v>0</v>
      </c>
      <c r="C1128" s="364" t="b">
        <v>0</v>
      </c>
      <c r="D1128" s="365"/>
      <c r="E1128" s="366"/>
      <c r="F1128" s="366"/>
      <c r="G1128" s="367"/>
      <c r="H1128" s="362"/>
      <c r="I1128" s="212"/>
      <c r="J1128" s="212"/>
    </row>
    <row r="1129" ht="57.0" customHeight="1">
      <c r="A1129" s="369" t="s">
        <v>1555</v>
      </c>
      <c r="B1129" s="370" t="b">
        <v>0</v>
      </c>
      <c r="C1129" s="370" t="b">
        <v>0</v>
      </c>
      <c r="D1129" s="371"/>
      <c r="E1129" s="372"/>
      <c r="F1129" s="372"/>
      <c r="G1129" s="373"/>
      <c r="H1129" s="362"/>
      <c r="I1129" s="212"/>
      <c r="J1129" s="212"/>
    </row>
    <row r="1130" ht="31.5" customHeight="1">
      <c r="A1130" s="127"/>
      <c r="B1130" s="127"/>
      <c r="C1130" s="127"/>
      <c r="D1130" s="127"/>
      <c r="E1130" s="127"/>
      <c r="F1130" s="127"/>
      <c r="G1130" s="127"/>
      <c r="H1130" s="103"/>
      <c r="I1130" s="126"/>
      <c r="J1130" s="126"/>
    </row>
    <row r="1131" ht="79.5" customHeight="1">
      <c r="A1131" s="374" t="s">
        <v>1556</v>
      </c>
      <c r="B1131" s="355"/>
      <c r="C1131" s="355"/>
      <c r="D1131" s="355"/>
      <c r="E1131" s="355"/>
      <c r="F1131" s="355"/>
      <c r="G1131" s="355"/>
      <c r="H1131" s="355"/>
      <c r="I1131" s="355"/>
      <c r="J1131" s="356"/>
    </row>
    <row r="1132" ht="57.0" customHeight="1">
      <c r="A1132" s="357" t="s">
        <v>1557</v>
      </c>
      <c r="B1132" s="358" t="b">
        <v>0</v>
      </c>
      <c r="C1132" s="358" t="b">
        <v>0</v>
      </c>
      <c r="D1132" s="359"/>
      <c r="E1132" s="360"/>
      <c r="F1132" s="360"/>
      <c r="G1132" s="361"/>
      <c r="H1132" s="362"/>
      <c r="I1132" s="368"/>
      <c r="J1132" s="368"/>
    </row>
    <row r="1133" ht="57.0" customHeight="1">
      <c r="A1133" s="357" t="s">
        <v>1558</v>
      </c>
      <c r="B1133" s="358" t="b">
        <v>0</v>
      </c>
      <c r="C1133" s="358" t="b">
        <v>0</v>
      </c>
      <c r="D1133" s="359"/>
      <c r="E1133" s="360"/>
      <c r="F1133" s="360"/>
      <c r="G1133" s="361"/>
      <c r="H1133" s="362"/>
      <c r="I1133" s="368"/>
      <c r="J1133" s="368"/>
    </row>
    <row r="1134" ht="57.0" customHeight="1">
      <c r="A1134" s="357" t="s">
        <v>1559</v>
      </c>
      <c r="B1134" s="358" t="b">
        <v>0</v>
      </c>
      <c r="C1134" s="358" t="b">
        <v>0</v>
      </c>
      <c r="D1134" s="359"/>
      <c r="E1134" s="360"/>
      <c r="F1134" s="360"/>
      <c r="G1134" s="361"/>
      <c r="H1134" s="362"/>
      <c r="I1134" s="368"/>
      <c r="J1134" s="368"/>
    </row>
    <row r="1135" ht="57.0" customHeight="1">
      <c r="A1135" s="357" t="s">
        <v>1560</v>
      </c>
      <c r="B1135" s="358" t="b">
        <v>0</v>
      </c>
      <c r="C1135" s="358" t="b">
        <v>0</v>
      </c>
      <c r="D1135" s="359"/>
      <c r="E1135" s="360"/>
      <c r="F1135" s="360"/>
      <c r="G1135" s="361"/>
      <c r="H1135" s="362"/>
      <c r="I1135" s="368"/>
      <c r="J1135" s="368"/>
    </row>
    <row r="1136" ht="57.0" customHeight="1">
      <c r="A1136" s="357" t="s">
        <v>1561</v>
      </c>
      <c r="B1136" s="358" t="b">
        <v>0</v>
      </c>
      <c r="C1136" s="358" t="b">
        <v>0</v>
      </c>
      <c r="D1136" s="359"/>
      <c r="E1136" s="360"/>
      <c r="F1136" s="360"/>
      <c r="G1136" s="361"/>
      <c r="H1136" s="362"/>
      <c r="I1136" s="368"/>
      <c r="J1136" s="368"/>
    </row>
    <row r="1137" ht="57.0" customHeight="1">
      <c r="A1137" s="357" t="s">
        <v>1562</v>
      </c>
      <c r="B1137" s="358" t="b">
        <v>0</v>
      </c>
      <c r="C1137" s="358" t="b">
        <v>0</v>
      </c>
      <c r="D1137" s="359"/>
      <c r="E1137" s="360"/>
      <c r="F1137" s="360"/>
      <c r="G1137" s="361"/>
      <c r="H1137" s="362"/>
      <c r="I1137" s="368"/>
      <c r="J1137" s="368"/>
    </row>
    <row r="1138" ht="57.0" customHeight="1">
      <c r="A1138" s="363" t="s">
        <v>1563</v>
      </c>
      <c r="B1138" s="364" t="b">
        <v>0</v>
      </c>
      <c r="C1138" s="364" t="b">
        <v>0</v>
      </c>
      <c r="D1138" s="365"/>
      <c r="E1138" s="366"/>
      <c r="F1138" s="366"/>
      <c r="G1138" s="367"/>
      <c r="H1138" s="362"/>
      <c r="I1138" s="368"/>
      <c r="J1138" s="368"/>
    </row>
    <row r="1139" ht="57.0" customHeight="1">
      <c r="A1139" s="363" t="s">
        <v>1564</v>
      </c>
      <c r="B1139" s="364" t="b">
        <v>0</v>
      </c>
      <c r="C1139" s="364" t="b">
        <v>0</v>
      </c>
      <c r="D1139" s="365"/>
      <c r="E1139" s="366"/>
      <c r="F1139" s="366"/>
      <c r="G1139" s="367"/>
      <c r="H1139" s="362"/>
      <c r="I1139" s="368"/>
      <c r="J1139" s="368"/>
    </row>
    <row r="1140" ht="57.0" customHeight="1">
      <c r="A1140" s="363" t="s">
        <v>1565</v>
      </c>
      <c r="B1140" s="364" t="b">
        <v>0</v>
      </c>
      <c r="C1140" s="364" t="b">
        <v>0</v>
      </c>
      <c r="D1140" s="365"/>
      <c r="E1140" s="366"/>
      <c r="F1140" s="366"/>
      <c r="G1140" s="367"/>
      <c r="H1140" s="362"/>
      <c r="I1140" s="368"/>
      <c r="J1140" s="368"/>
    </row>
    <row r="1141" ht="57.0" customHeight="1">
      <c r="A1141" s="363" t="s">
        <v>1566</v>
      </c>
      <c r="B1141" s="364" t="b">
        <v>0</v>
      </c>
      <c r="C1141" s="364" t="b">
        <v>0</v>
      </c>
      <c r="D1141" s="365"/>
      <c r="E1141" s="366"/>
      <c r="F1141" s="366"/>
      <c r="G1141" s="367"/>
      <c r="H1141" s="362"/>
      <c r="I1141" s="368"/>
      <c r="J1141" s="368"/>
    </row>
    <row r="1142" ht="57.0" customHeight="1">
      <c r="A1142" s="363" t="s">
        <v>1567</v>
      </c>
      <c r="B1142" s="364" t="b">
        <v>0</v>
      </c>
      <c r="C1142" s="364" t="b">
        <v>0</v>
      </c>
      <c r="D1142" s="365"/>
      <c r="E1142" s="366"/>
      <c r="F1142" s="366"/>
      <c r="G1142" s="367"/>
      <c r="H1142" s="362"/>
      <c r="I1142" s="368"/>
      <c r="J1142" s="368"/>
    </row>
    <row r="1143" ht="57.0" customHeight="1">
      <c r="A1143" s="363" t="s">
        <v>1568</v>
      </c>
      <c r="B1143" s="364" t="b">
        <v>0</v>
      </c>
      <c r="C1143" s="364" t="b">
        <v>0</v>
      </c>
      <c r="D1143" s="365"/>
      <c r="E1143" s="366"/>
      <c r="F1143" s="366"/>
      <c r="G1143" s="367"/>
      <c r="H1143" s="362"/>
      <c r="I1143" s="368"/>
      <c r="J1143" s="368"/>
    </row>
    <row r="1144" ht="57.0" customHeight="1">
      <c r="A1144" s="363" t="s">
        <v>1569</v>
      </c>
      <c r="B1144" s="364" t="b">
        <v>0</v>
      </c>
      <c r="C1144" s="364" t="b">
        <v>0</v>
      </c>
      <c r="D1144" s="365"/>
      <c r="E1144" s="366"/>
      <c r="F1144" s="366"/>
      <c r="G1144" s="367"/>
      <c r="H1144" s="362"/>
      <c r="I1144" s="368"/>
      <c r="J1144" s="368"/>
    </row>
    <row r="1145" ht="57.0" customHeight="1">
      <c r="A1145" s="363" t="s">
        <v>1570</v>
      </c>
      <c r="B1145" s="364" t="b">
        <v>0</v>
      </c>
      <c r="C1145" s="364" t="b">
        <v>0</v>
      </c>
      <c r="D1145" s="365"/>
      <c r="E1145" s="366"/>
      <c r="F1145" s="366"/>
      <c r="G1145" s="367"/>
      <c r="H1145" s="362"/>
      <c r="I1145" s="368"/>
      <c r="J1145" s="368"/>
    </row>
    <row r="1146" ht="57.0" customHeight="1">
      <c r="A1146" s="363" t="s">
        <v>1571</v>
      </c>
      <c r="B1146" s="364" t="b">
        <v>0</v>
      </c>
      <c r="C1146" s="364" t="b">
        <v>0</v>
      </c>
      <c r="D1146" s="365"/>
      <c r="E1146" s="366"/>
      <c r="F1146" s="366"/>
      <c r="G1146" s="367"/>
      <c r="H1146" s="362"/>
      <c r="I1146" s="368"/>
      <c r="J1146" s="368"/>
    </row>
    <row r="1147" ht="57.0" customHeight="1">
      <c r="A1147" s="363" t="s">
        <v>1572</v>
      </c>
      <c r="B1147" s="364" t="b">
        <v>0</v>
      </c>
      <c r="C1147" s="364" t="b">
        <v>0</v>
      </c>
      <c r="D1147" s="365"/>
      <c r="E1147" s="366"/>
      <c r="F1147" s="366"/>
      <c r="G1147" s="367"/>
      <c r="H1147" s="362"/>
      <c r="I1147" s="368"/>
      <c r="J1147" s="368"/>
    </row>
    <row r="1148" ht="57.0" customHeight="1">
      <c r="A1148" s="363" t="s">
        <v>1573</v>
      </c>
      <c r="B1148" s="364" t="b">
        <v>0</v>
      </c>
      <c r="C1148" s="364" t="b">
        <v>0</v>
      </c>
      <c r="D1148" s="365"/>
      <c r="E1148" s="366"/>
      <c r="F1148" s="366"/>
      <c r="G1148" s="367"/>
      <c r="H1148" s="362"/>
    </row>
  </sheetData>
  <mergeCells count="14">
    <mergeCell ref="I933:J964"/>
    <mergeCell ref="I1049:J1079"/>
    <mergeCell ref="I1100:J1106"/>
    <mergeCell ref="I1107:J1107"/>
    <mergeCell ref="I1108:J1108"/>
    <mergeCell ref="I1109:J1109"/>
    <mergeCell ref="I1114:J1114"/>
    <mergeCell ref="I51:J84"/>
    <mergeCell ref="I281:J286"/>
    <mergeCell ref="I316:J321"/>
    <mergeCell ref="I330:J357"/>
    <mergeCell ref="I479:J525"/>
    <mergeCell ref="I847:J852"/>
    <mergeCell ref="I868:J883"/>
  </mergeCells>
  <conditionalFormatting sqref="D311">
    <cfRule type="expression" dxfId="6" priority="1">
      <formula>OR($B311=TRUE, $C311=TRUE)</formula>
    </cfRule>
  </conditionalFormatting>
  <conditionalFormatting sqref="B3:B274 B278:B309 B313:B323 B327:B472 B476:B840 B844:B926 B930:B1034 B1038:B1114 B1118:B1129 B1132:B1148">
    <cfRule type="expression" dxfId="7" priority="2">
      <formula>$B3=TRUE</formula>
    </cfRule>
  </conditionalFormatting>
  <conditionalFormatting sqref="C3:C274 C278:C309 C313:C323 C327:C472 C476:C840 C844:C926 C930:C1034 C1038:C1114 C1118:C1129 C1132:C1148">
    <cfRule type="expression" dxfId="8" priority="3">
      <formula>$C3=TRUE</formula>
    </cfRule>
  </conditionalFormatting>
  <conditionalFormatting sqref="A3:C1148 D3:D310 E3:G1148 D312:D1148">
    <cfRule type="expression" dxfId="6" priority="4">
      <formula>OR($B3=TRUE, $C3=TRUE)</formula>
    </cfRule>
  </conditionalFormatting>
  <conditionalFormatting sqref="J3 J278 J313 J327 J476 J844 J930 J1038">
    <cfRule type="expression" dxfId="9" priority="5">
      <formula>J3=1</formula>
    </cfRule>
  </conditionalFormatting>
  <conditionalFormatting sqref="J31 J262:J274 J280 J315 J329 J478 J846 J855:J861 J932 J1040 J1044">
    <cfRule type="expression" dxfId="10" priority="6">
      <formula>J31="100%"</formula>
    </cfRule>
  </conditionalFormatting>
  <conditionalFormatting sqref="A2:G2 B277:G277">
    <cfRule type="colorScale" priority="7">
      <colorScale>
        <cfvo type="min"/>
        <cfvo type="max"/>
        <color rgb="FFFFFFFF"/>
        <color rgb="FFFFD666"/>
      </colorScale>
    </cfRule>
  </conditionalFormatting>
  <conditionalFormatting sqref="I1:J1">
    <cfRule type="colorScale" priority="8">
      <colorScale>
        <cfvo type="min"/>
        <cfvo type="max"/>
        <color rgb="FFFFFFFF"/>
        <color rgb="FF57BB8A"/>
      </colorScale>
    </cfRule>
  </conditionalFormatting>
  <hyperlinks>
    <hyperlink r:id="rId1" ref="G291"/>
    <hyperlink r:id="rId2" ref="G525"/>
    <hyperlink r:id="rId3" ref="G761"/>
    <hyperlink r:id="rId4" ref="G814"/>
    <hyperlink r:id="rId5" ref="G869"/>
    <hyperlink r:id="rId6" ref="G971"/>
    <hyperlink r:id="rId7" ref="G972"/>
    <hyperlink r:id="rId8" ref="G1110"/>
    <hyperlink r:id="rId9" ref="G1111"/>
    <hyperlink r:id="rId10" ref="G1112"/>
    <hyperlink r:id="rId11" ref="G1113"/>
  </hyperlinks>
  <printOptions gridLines="1" horizontalCentered="1"/>
  <pageMargins bottom="0.75" footer="0.0" header="0.0" left="0.25" right="0.25" top="0.75"/>
  <pageSetup fitToHeight="0" paperSize="9" cellComments="atEnd" orientation="portrait" pageOrder="overThenDown"/>
  <drawing r:id="rId12"/>
  <tableParts count="9">
    <tablePart r:id="rId22"/>
    <tablePart r:id="rId23"/>
    <tablePart r:id="rId24"/>
    <tablePart r:id="rId25"/>
    <tablePart r:id="rId26"/>
    <tablePart r:id="rId27"/>
    <tablePart r:id="rId28"/>
    <tablePart r:id="rId29"/>
    <tablePart r:id="rId3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outlineLevelRow="1"/>
  <cols>
    <col customWidth="1" min="1" max="5" width="35.75"/>
  </cols>
  <sheetData>
    <row r="1" ht="58.5" customHeight="1">
      <c r="A1" s="2" t="s">
        <v>1</v>
      </c>
      <c r="B1" s="4" t="s">
        <v>3</v>
      </c>
      <c r="C1" s="4" t="s">
        <v>5</v>
      </c>
      <c r="D1" s="4" t="s">
        <v>6</v>
      </c>
      <c r="E1" s="4" t="s">
        <v>7</v>
      </c>
    </row>
    <row r="2" ht="54.0" customHeight="1">
      <c r="A2" s="7" t="s">
        <v>8</v>
      </c>
      <c r="B2" s="8"/>
      <c r="C2" s="9"/>
      <c r="D2" s="10"/>
    </row>
    <row r="3" ht="54.0" customHeight="1">
      <c r="A3" s="7" t="s">
        <v>10</v>
      </c>
      <c r="B3" s="12"/>
      <c r="C3" s="9"/>
      <c r="D3" s="10"/>
      <c r="E3" s="13"/>
    </row>
    <row r="4" ht="54.0" customHeight="1">
      <c r="A4" s="7" t="s">
        <v>11</v>
      </c>
      <c r="B4" s="14"/>
      <c r="C4" s="16"/>
      <c r="D4" s="10"/>
      <c r="E4" s="13"/>
    </row>
    <row r="5" ht="54.0" customHeight="1">
      <c r="A5" s="7" t="s">
        <v>14</v>
      </c>
      <c r="B5" s="19"/>
      <c r="C5" s="9"/>
      <c r="D5" s="10"/>
      <c r="E5" s="13"/>
    </row>
    <row r="6" ht="54.0" customHeight="1">
      <c r="A6" s="7" t="s">
        <v>16</v>
      </c>
      <c r="B6" s="19"/>
      <c r="C6" s="9"/>
      <c r="D6" s="10"/>
      <c r="E6" s="13"/>
    </row>
    <row r="7" ht="54.0" customHeight="1">
      <c r="A7" s="7" t="s">
        <v>17</v>
      </c>
      <c r="B7" s="20"/>
      <c r="C7" s="9"/>
      <c r="D7" s="10"/>
      <c r="E7" s="13"/>
    </row>
    <row r="8" ht="54.0" customHeight="1">
      <c r="A8" s="7" t="s">
        <v>18</v>
      </c>
      <c r="B8" s="20"/>
      <c r="C8" s="9"/>
      <c r="D8" s="10"/>
      <c r="E8" s="13"/>
    </row>
    <row r="9" ht="54.0" customHeight="1">
      <c r="A9" s="7" t="s">
        <v>19</v>
      </c>
      <c r="B9" s="20"/>
      <c r="C9" s="9"/>
      <c r="D9" s="10"/>
      <c r="E9" s="13"/>
    </row>
    <row r="10" ht="15.75" customHeight="1">
      <c r="A10" s="13"/>
      <c r="B10" s="13"/>
      <c r="C10" s="13"/>
      <c r="D10" s="24"/>
      <c r="E10" s="13"/>
    </row>
    <row r="11" ht="76.5" customHeight="1">
      <c r="A11" s="26" t="s">
        <v>21</v>
      </c>
    </row>
    <row r="12" ht="76.5" customHeight="1"/>
    <row r="13" ht="76.5" customHeight="1"/>
  </sheetData>
  <mergeCells count="1">
    <mergeCell ref="A11:E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sheetViews>
  <sheetFormatPr customHeight="1" defaultColWidth="12.63" defaultRowHeight="15.75" outlineLevelRow="1"/>
  <cols>
    <col customWidth="1" min="1" max="1" width="32.38"/>
    <col customWidth="1" min="2" max="4" width="57.5"/>
  </cols>
  <sheetData>
    <row r="1" ht="69.75" customHeight="1">
      <c r="A1" s="1" t="s">
        <v>0</v>
      </c>
      <c r="B1" s="3" t="s">
        <v>2</v>
      </c>
      <c r="C1" s="5" t="s">
        <v>4</v>
      </c>
      <c r="D1" s="6"/>
    </row>
    <row r="2" ht="257.25" customHeight="1">
      <c r="B2" s="11" t="s">
        <v>9</v>
      </c>
      <c r="C2" s="15" t="s">
        <v>12</v>
      </c>
      <c r="D2" s="18" t="s">
        <v>15</v>
      </c>
    </row>
    <row r="3" ht="23.25" customHeight="1">
      <c r="A3" s="21"/>
      <c r="C3" s="22"/>
      <c r="D3" s="22"/>
    </row>
    <row r="4" ht="69.75" customHeight="1">
      <c r="A4" s="1" t="s">
        <v>20</v>
      </c>
      <c r="B4" s="3" t="s">
        <v>2</v>
      </c>
      <c r="C4" s="5" t="s">
        <v>4</v>
      </c>
      <c r="D4" s="23"/>
    </row>
    <row r="5" ht="257.25" customHeight="1">
      <c r="A5" s="25"/>
      <c r="B5" s="27" t="s">
        <v>22</v>
      </c>
      <c r="C5" s="15" t="s">
        <v>24</v>
      </c>
      <c r="D5" s="28" t="s">
        <v>25</v>
      </c>
    </row>
  </sheetData>
  <drawing r:id="rId1"/>
</worksheet>
</file>